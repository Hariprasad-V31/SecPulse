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0" documentId="8_{5F80BAA8-CFFE-40C5-8E0F-A534C930AA50}" xr6:coauthVersionLast="47" xr6:coauthVersionMax="47" xr10:uidLastSave="{00000000-0000-0000-0000-000000000000}"/>
  <bookViews>
    <workbookView xWindow="0" yWindow="680" windowWidth="29400" windowHeight="17320" xr2:uid="{00000000-000D-0000-FFFF-FFFF00000000}"/>
  </bookViews>
  <sheets>
    <sheet name="ApplicationSecurityv1" sheetId="6" r:id="rId1"/>
    <sheet name="Summary Dashboard" sheetId="5" r:id="rId2"/>
    <sheet name="ApplicationSecurity"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5" l="1" a="1"/>
  <c r="C6" i="5"/>
  <c r="D7" i="5" s="1"/>
  <c r="B5" i="5" a="1"/>
  <c r="B5" i="5"/>
  <c r="B19" i="5"/>
  <c r="B18" i="5"/>
  <c r="B17" i="5"/>
  <c r="B16" i="5" a="1"/>
  <c r="B16" i="5"/>
  <c r="B15" i="5" a="1"/>
  <c r="B15" i="5"/>
  <c r="B14" i="5" a="1"/>
  <c r="B14" i="5"/>
  <c r="B13" i="5" a="1"/>
  <c r="B13" i="5"/>
  <c r="B12" i="5" a="1"/>
  <c r="B12" i="5"/>
  <c r="B11" i="5" a="1"/>
  <c r="B11" i="5"/>
  <c r="B6" i="5" l="1"/>
  <c r="B7" i="5" s="1"/>
  <c r="C19" i="5"/>
  <c r="C18" i="5"/>
  <c r="H18" i="5" s="1"/>
  <c r="C17" i="5"/>
  <c r="H17" i="5" s="1"/>
  <c r="C16" i="5"/>
  <c r="H16" i="5" s="1"/>
  <c r="C15" i="5"/>
  <c r="H15" i="5" s="1"/>
  <c r="C14" i="5"/>
  <c r="H14" i="5" s="1"/>
  <c r="C13" i="5"/>
  <c r="H13" i="5" s="1"/>
  <c r="C12" i="5"/>
  <c r="H12" i="5" s="1"/>
  <c r="C11" i="5"/>
  <c r="H11" i="5" s="1"/>
  <c r="H19" i="5" l="1"/>
  <c r="E19" i="5"/>
  <c r="D19" i="5"/>
  <c r="E18" i="5"/>
  <c r="D18" i="5"/>
  <c r="E17" i="5"/>
  <c r="D17" i="5"/>
  <c r="E16" i="5"/>
  <c r="D16" i="5"/>
  <c r="E15" i="5"/>
  <c r="D15" i="5"/>
  <c r="E14" i="5"/>
  <c r="D14" i="5"/>
  <c r="E13" i="5"/>
  <c r="D13" i="5"/>
  <c r="E12" i="5"/>
  <c r="D12" i="5"/>
  <c r="E11" i="5"/>
  <c r="D11" i="5"/>
  <c r="C38" i="5" l="1"/>
  <c r="C37" i="5"/>
  <c r="C36" i="5"/>
  <c r="C35" i="5"/>
  <c r="C34" i="5"/>
  <c r="C33" i="5"/>
  <c r="D38" i="5"/>
  <c r="K32" i="5" l="1"/>
  <c r="D33" i="5"/>
  <c r="K33" i="5"/>
  <c r="D34" i="5"/>
  <c r="K34" i="5"/>
  <c r="D35" i="5"/>
  <c r="K35" i="5"/>
  <c r="D36" i="5"/>
  <c r="K36" i="5"/>
  <c r="D3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<sst xmlns="http://schemas.openxmlformats.org/spreadsheetml/2006/main" count="335" uniqueCount="270">
  <si>
    <t>Appsec Category</t>
  </si>
  <si>
    <t>Appsec Maturity Stage</t>
  </si>
  <si>
    <t>Assessment Item</t>
  </si>
  <si>
    <t>Project Assessed Score
(To be filled by the project team)</t>
  </si>
  <si>
    <t>Comments</t>
  </si>
  <si>
    <t>Description (What this question Actually Means)</t>
  </si>
  <si>
    <t>Examples / Evidence for teams to reference</t>
  </si>
  <si>
    <t>Not Started [0] – Scoring Criteria</t>
  </si>
  <si>
    <t>Partially Implemented [1] – Scoring Criteria</t>
  </si>
  <si>
    <t>Consistently Implemented [2] – Scoring Criteria</t>
  </si>
  <si>
    <t>Embedded &amp; Measured [3] – Scoring Criteria</t>
  </si>
  <si>
    <t>Security Requirements, Architecture &amp; Design</t>
  </si>
  <si>
    <t>Preventative</t>
  </si>
  <si>
    <t>Are security architecture patterns (e.g., Zero Trust, Least Privilege, Defence‑in‑Depth) defined, enforced, and validated — including in Infrastructure‑as‑Code (IaC) and cloud configuration (IAM, network)?</t>
  </si>
  <si>
    <t>Embedded &amp; Measured [3]</t>
  </si>
  <si>
    <t>This question assesses whether the organisation has formally defined security architecture patterns — Zero Trust (never trust, always verify), Least Privilege (minimum access required), and Defence‑in‑Depth (multiple independent layers) — and whether these are enforced in designs AND operationalised in IaC and cloud configuration: scoped IAM roles (no wildcards), no unnecessary public exposure, network segmentation, identity‑based access, and enforcement through policy‑as‑code and CSPM.</t>
  </si>
  <si>
    <t>Reference architectures, zero‑trust network diagrams, segmentation policies, Architecture Decision Record (ADR) citing security patterns; Least‑privilege IAM policies (no wildcard '*'), no public/0.0.0.0/0 exposure, network segmentation/private endpoints, IaC policy‑as‑code (e.g., OPA/Sentinel) gates, CSPM findings for excessive permissions.</t>
  </si>
  <si>
    <t>No security architecture patterns are defined. Architectural decisions are ad hoc. Networks are flat with implicit trust. No reference architecture exists. ZTA and least privilege are not applied to IaC or cloud. IAM permissions are broad or use wildcards. Resources may be publicly exposed. No IaC policy enforcement or CSPM validation.</t>
  </si>
  <si>
    <t>Some patterns are documented but enforcement is inconsistent. Certain teams apply them while others do not. Patterns may be aspirational with significant deviation in deployments. Some least‑privilege practices exist in parts of the estate, but over‑broad IAM roles and public exposures still occur. IaC policy checks and CSPM may exist but are not consistently applied. Configuration drift is not reliably caught.</t>
  </si>
  <si>
    <t>Security architecture patterns are formally defined, documented, and consistently applied across new designs. Architecture reviews verify adherence. Deviations require documented justification. Least privilege and zero‑trust are consistently applied in IaC and cloud configuration: scoped IAM, no unnecessary public exposure, network segmentation. IaC policy‑as‑code and/or CSPM validate configurations, and violations are remediated through a defined process.</t>
  </si>
  <si>
    <t>Pattern adherence is measured and enforced through automated controls (policy‑as‑code, network policy validation, IaC guardrails). Architecture conformance is tracked and reported to governance. ZTA and PoLP are enforced automatically as deployment gates and continuously validated by CSPM, with automated detection and remediation of excessive permissions, public exposure, and drift. Posture metrics are measured, reported, and driven down over time.</t>
  </si>
  <si>
    <t>Is threat modelling performed and are security reviews mandated for significant design or feature changes?</t>
  </si>
  <si>
    <t>Not Applicable</t>
  </si>
  <si>
    <t>This question assesses whether threat modelling — a structured process of identifying who might attack a system, what assets they would target, what attack paths they would use, and what mitigations are needed (using methods such as STRIDE, Attack Trees, or PASTA) — is conducted for significant new features and architectural decisions, AND whether a formal security review with explicit sign-off is mandated as part of the design approval gate.</t>
  </si>
  <si>
    <t>Threat models, data flow diagrams, attack trees, or STRIDE (Spoofing, Tampering, Repudiation, Information Disclosure, DoS, Elevation) outputs attached to designs; Design review checklist includes security sign‑off; Security review records linked to design artefacts.</t>
  </si>
  <si>
    <t>No threat modelling is performed. Security implications of design decisions are not systematically considered. No security design reviews exist. Designs are approved based on functionality, performance, and feasibility alone. Security is first considered during implementation or pre-release testing — when significant rework may be required.</t>
  </si>
  <si>
    <t>Threat modelling occurs occasionally — typically for explicitly flagged high-profile initiatives, but not consistently. Models may be informal whiteboard discussions with no documented output. Security design reviews are ad hoc, dependent on individual initiative, and not documented as a formal gate. Outcomes are not consistently recorded.</t>
  </si>
  <si>
    <t>Threat modelling is a standard, documented part of the design process for all significant feature changes or architectural work. A defined method is used consistently. Outputs (threat model documents, data flow diagrams, risk item lists) are captured. Security design reviews are mandated and explicitly documented as a gate. All significant designs require security sign-off before implementation begins. Review outcomes are recorded and linked to design artefacts.</t>
  </si>
  <si>
    <t>Threat model coverage and quality are actively tracked. All significant design changes have associated threat models completed before implementation. Models are updated as designs evolve. Threat model findings directly feed into the security backlog, risk register, and test plans. Design review effectiveness is measured: security issues caught at design stage vs. implementation vs. testing are tracked. Review findings are linked to downstream outcomes and used to improve design standards.</t>
  </si>
  <si>
    <t>Are security NFRs defined and tracked in development artefacts?</t>
  </si>
  <si>
    <t>Partially Implemented [1]</t>
  </si>
  <si>
    <t>Security Non-Functional Requirements (NFRs) define the security properties a feature, component, or system must satisfy — for example: all API endpoints must require authentication; all data at rest must be encrypted with AES-256; session tokens must expire after 15 minutes of inactivity; all user input must be validated server-side. This question asks whether these are documented in stories, epics, designs, or Definition of Done artefacts and whether developers and testers actively reference them.</t>
  </si>
  <si>
    <t>Security NFRs in stories, DoD (Definition of Done), design docs.</t>
  </si>
  <si>
    <t>No security NFRs exist in any development artefact. Security expectations are implicit, unarticulated, or assumed to be 'common sense.' Development stories, epics, and acceptance criteria contain no security requirements. Developers do not know what security properties the software is expected to deliver.</t>
  </si>
  <si>
    <t>Some security NFRs exist for specific high-priority features but coverage is inconsistent. NFRs may exist at a programme or architecture level but are not decomposed into team-level stories or acceptance criteria. Most developers do not routinely reference or test against security NFRs.</t>
  </si>
  <si>
    <t>Security NFRs are defined for all significant development artefacts. They are embedded in the Definition of Done, story templates, and design documents. Teams reference NFRs during development and include NFR validation in testing. NFR compliance is verified at sprint review or release acceptance.</t>
  </si>
  <si>
    <t>Security NFR coverage is tracked and reported. NFRs are derived from threat models and risk assessments, creating a traceable link from risk to requirement. Compliance is verified through automated testing and code review. NFR violations are tracked as defects. The NFR library is actively maintained and updated as the threat landscape and architecture evolve.</t>
  </si>
  <si>
    <t>Secure Development &amp; Coding Practices</t>
  </si>
  <si>
    <t>Are secure coding practices formally defined, adopted, and verified through security-focused code reviews?</t>
  </si>
  <si>
    <t>This question assesses whether the organisation has documented secure coding standards (OWASP Top 10 guidance, language-specific security patterns) that are formally adopted, AND whether code reviews explicitly include security as a review dimension — covering input validation, authentication/authorisation correctness, sensitive data handling, secure cryptography use, and adherence to coding standards.</t>
  </si>
  <si>
    <t>Secure coding standards with OWASP mapping, references in DoD; PR templates include security checklist (input validation, auth/authz, sensitive data handling, cryptography, error handling); code review records showing security sign-off.</t>
  </si>
  <si>
    <t>No documented secure coding standards exist. Security decisions are left to individual judgment. Code reviews have no security component — security is not mentioned in PR templates, checklists, or reviewer expectations.</t>
  </si>
  <si>
    <t>Some secure coding guidance exists but is not formally adopted or embedded. Some reviewers consider security informally, but it is not a formal checklist item. Security review quality varies widely between individuals and depends on personal knowledge.</t>
  </si>
  <si>
    <t>Secure coding standards are formally documented, approved, and adopted. Standards are embedded in DoD and onboarding. All PRs reference a security checklist. Reviewers evaluate security as part of standard review. Security findings from code review are tracked and resolved.</t>
  </si>
  <si>
    <t>Standards are kept current with evolving threats. Adoption is measured through code review audits. Security review effectiveness is tracked: issues caught in review vs. scanning vs. production. Patterns in review findings improve coding standards and training.</t>
  </si>
  <si>
    <t>Are teams aware of and testing for scanner-invisible vulnerability classes (IDOR, race conditions, logic flaws), and is test code itself held to security standards?</t>
  </si>
  <si>
    <t>Not Started [0]</t>
  </si>
  <si>
    <t>This question assesses whether teams understand vulnerability classes scanners cannot catch (IDOR, broken access control, race conditions, business-logic abuse, logic bombs) and actively design tests and code-review checks to find them — AND whether test code (unit, integration, fixtures) is held to security standards: free of hardcoded secrets, using synthetic data, not disabling security controls, and included in security scanning.</t>
  </si>
  <si>
    <t>Training on OWASP business-logic/access-control flaws, manual/abuse-case tests for IDOR and race conditions, threat-model entries for logic abuse; Test code scanned by SAST/secret scanning, no real credentials in tests, test fixtures using synthetic/masked data, no disabling of TLS/auth in committed tests.</t>
  </si>
  <si>
    <t>Teams have no awareness of logic-flaw vulnerability classes. Testing relies entirely on automated scanners. Test code is not considered from a security perspective — excluded from scanning, with hardcoded credentials and disabled security controls common.</t>
  </si>
  <si>
    <t>Some individuals are aware and occasionally test for logic flaws, but inconsistently. Some teams keep tests clean, but practice is inconsistent. Test code may be partially scanned. Real credentials or production data still appear in some tests.</t>
  </si>
  <si>
    <t>Awareness of logic-flaw classes is established across teams. IDOR, race conditions, and business-logic abuse cases are included in test design and code-review checklists. Test code is held to defined security standards: included in scanning, free of hardcoded credentials, using synthetic data.</t>
  </si>
  <si>
    <t>Logic flaw detection is driven by threat modelling and abuse-case libraries, reinforced by targeted penetration testing. Test code security is enforced automatically (secret scanning covers tests, policy blocks insecure patterns). Compliance is measured and findings tracked.</t>
  </si>
  <si>
    <t>Reactive</t>
  </si>
  <si>
    <t>Automation (e.g., Copilot or equivalent) is used to assist with security fixes. And properly guardrailed with the best security practices.</t>
  </si>
  <si>
    <t>This question assesses whether the team uses AI-powered tooling (such as GitHub Copilot Autofix, Snyk DeepCode Fix, or equivalent) to automatically suggest or generate fixes for identified security vulnerabilities — rather than relying entirely on manual developer effort to research and implement remediations. It is an advanced practice building on baseline scanning and triage capabilities.</t>
  </si>
  <si>
    <t>AI‑generated fix suggestions, PRs with assisted remediation.</t>
  </si>
  <si>
    <t>No AI or automated fix assistance is in use. All remediation is manual. Developers must independently research, understand, and implement fixes for every finding, which creates a significant time and skill burden.</t>
  </si>
  <si>
    <t>Some developers use AI tools informally (e.g., ad hoc use of a code assistant for security questions) but there is no standardised tooling, process, or integration for AI-assisted remediation. Usage is inconsistent and unmeasured.</t>
  </si>
  <si>
    <t>AI-assisted fix tooling is available, standardised, and integrated into the development workflow (e.g., IDE-level or pipeline-level fix suggestions). Developers are trained on how to use it effectively for security remediations. Adoption is tracked.</t>
  </si>
  <si>
    <t>AI-assisted remediation metrics are tracked: percentage of fixes with AI assistance, time-to-fix comparison (with vs. without AI), and developer adoption rate. AI-assisted Agents used for active fixes in PRs and commits (Irrespective of it's generation: by AI / Human). Tool quality is regularly evaluated — AI-suggested fixes are reviewed for security correctness. Tooling is updated as better models become available.</t>
  </si>
  <si>
    <t>Security Testing, CI/CD Pipeline &amp; Vulnerability Detection</t>
  </si>
  <si>
    <t>Proactive</t>
  </si>
  <si>
    <t>Are security scanning tools (SAST, SCA, container, IaC) deployed and integrated in developer environments?</t>
  </si>
  <si>
    <t>This question assesses whether the team has deployed automated security scanning tools — SAST (source code analysis), SCA (third-party library vulnerabilities), container image scanning, and IaC scanning — AND whether these tools provide developers with real-time or near-real-time feedback during active development, enabling them to identify and fix issues before code progresses further in the delivery process.</t>
  </si>
  <si>
    <t>Security scanning tools integrated into developer environments (e.g., Snyk, SonarLint, CodeQL, Semgrep); developers receive immediate feedback on vulnerabilities while writing code; scanning covers source code, third-party libraries, container images, and infrastructure definitions. Evidence: tool list, developer environment configurations, scan coverage reports.</t>
  </si>
  <si>
    <t>No security scanning tools are deployed for developers. Vulnerabilities are only discovered ad hoc, through manual review, or late in the delivery process. Developers have no visibility into security issues while actively coding.</t>
  </si>
  <si>
    <t>Some tools exist (e.g., one SAST tool) but coverage is incomplete. Some developers have access to security scanning tools, but adoption is inconsistent. Tools are not mandated, standardised, or documented. Usage depends on individual initiative. Not all code, dependencies, or infrastructure definitions are scanned.</t>
  </si>
  <si>
    <t>Security tools covering source code, dependencies, containers, and IaC are deployed and available to all developers. Tools are standardised, documented, and adopted across all development teams. Developers receive timely feedback on security issues during active development. Configuration and usage are guided through onboarding materials. Coverage is documented.</t>
  </si>
  <si>
    <t>Full toolchain coverage is in place and continuously optimised. Developer adoption is actively measured: percentage of developers using security tools, feedback response times, and the ratio of issues caught during development vs. later stages. Tool effectiveness (detection rates, false-positive rates) is measured. Results feed into security dashboards.</t>
  </si>
  <si>
    <t>Are security scans (SAST, SCA, container, IaC, CSPM) triggered automatically in CI pipelines, with enforced security gates on critical/high findings, and are findings clearly actionable for developers?</t>
  </si>
  <si>
    <t>This question assesses three integrated CI/CD security capabilities: (1) Automated scanning — whether SAST, SCA, container, IaC, and CSPM tools are triggered automatically in CI pipelines on every PR/commit/build without manual initiation; (2) Enforced gates — whether pipelines have break-build or block-merge rules preventing code promotion when critical/high findings are detected, with bypasses requiring documented justification; and (3) Actionable findings — whether findings include enough context (descriptions, severity, file/line locations, remediation guidance, AI-assisted fixes) for developers to understand and resolve issues efficiently.</t>
  </si>
  <si>
    <t>SAST, SCA, container image scanning, IaC scanning, CSPM integrated with CI/CD; pipelines run scans on PR/merge/build (e.g., Semgrep, Snyk in workflows); builds fail on severity thresholds with documented gate criteria; tool feedback links to fix guidance, code locations, AI-assisted remediation. Evidence: pipeline YAML, logs showing scan execution, failed pipeline runs for gate violations, remediation guidance quality.</t>
  </si>
  <si>
    <t>No security scanning tools are deployed or integrated with CI. Security scans are run manually or not at all. No gates exist — findings are informational only and builds succeed regardless of scan results. Developers can promote code with known critical vulnerabilities. Findings are raw tool output with minimal context — developers cannot easily interpret or act on them.</t>
  </si>
  <si>
    <t>Some tools exist but coverage is incomplete across pipelines/projects. Scans may run on some events but not uniformly. Gates exist in some pipelines or for some severity levels but coverage is inconsistent — gates may be regularly bypassed without documented process. Some findings include descriptions or CVE/OWASP references but guidance is inconsistent and developer experience varies widely.</t>
  </si>
  <si>
    <t>Security tools covering code, dependencies, containers, IaC, and cloud resources are deployed and automatically triggered on all PRs/merges across all projects. Security gates are consistently enforced for critical/high findings — bypasses require documented justification and explicit approval. All findings include clear descriptions, severity ratings, affected location (file, line), and remediation guidance. Developers can action most findings without consulting a security specialist.</t>
  </si>
  <si>
    <t>Full toolchain coverage is in place with pipeline scan coverage tracked and enforced as a platform standard. No pipeline can be deployed without scan integration. Tool effectiveness is measured (detection rates, false-positive rates). Gate effectiveness is measured: override rates, bypass reasons, and severity trends are tracked and reported. Findings are enriched with AI-assisted remediation suggestions. Developer feedback on finding quality is collected to tune tools. Time-to-remediation is tracked per finding type.</t>
  </si>
  <si>
    <t>Is source code continuously scanned to detect and prevent credential / secret leaks (e.g., secret scanning and push protection such as GitHub Advanced Security), with zero unresolved leaks?</t>
  </si>
  <si>
    <t>This question assesses whether the organisation uses automated secret scanning across its source repositories to detect committed credentials and secrets, ideally combined with push protection that blocks secrets from being committed in the first place (for example via GitHub Advanced Security or an equivalent), whether detected leaks are remediated (revoked and rotated, not just deleted), and whether the goal of zero unresolved credential leaks is tracked and met. It is a detective/preventive control complementing the runtime secrets‑management posture in Q24.</t>
  </si>
  <si>
    <t>Secret scanning enabled across all repos (e.g., GHAS secret scanning), push protection blocking secret commits, historical‑secret remediation records, alerts triaged to zero open, automatic credential revocation/rotation on detected leak.</t>
  </si>
  <si>
    <t>No secret scanning is in place. Credentials committed to source are not detected. There is no push protection. Leaked secrets remain in repositories and history indefinitely, unrevoked and unrotated. The organisation has no visibility into committed‑secret exposure.</t>
  </si>
  <si>
    <t>Secret scanning is enabled on some repositories but not all. Push protection may be absent or not enforced. Detected leaks are handled inconsistently — sometimes deleted but not revoked/rotated. There is a backlog of unresolved secret‑scanning alerts and no clear path to zero.</t>
  </si>
  <si>
    <t>Secret scanning is enabled across all repositories with push protection enforced to block new secret commits. Detected secrets are revoked and rotated through a defined process, and historical leaks are remediated. Open secret‑leak alerts are actively driven down toward zero.</t>
  </si>
  <si>
    <t>Secret scanning and push protection are universal and enforced, with automated revocation/rotation workflows on detection and validity checks on found secrets. Time‑to‑remediate and open‑leak counts are measured and reported, with a sustained zero (or near‑zero) unresolved leaks. Trends feed governance, and recurring leak sources drive process and training improvements.</t>
  </si>
  <si>
    <t>Deployed Assets Vulnerability Management &amp; Remediation</t>
  </si>
  <si>
    <t>Are vulnerabilities triaged with clear ownership and SLAs, third-party dependencies sourced from trusted repositories, and risks evaluated beyond CVEs (licence, project viability)?</t>
  </si>
  <si>
    <t>Consistently Implemented [2]</t>
  </si>
  <si>
    <t>This question assesses whether: (1) a structured triage process assigns ownership to development/platform teams with severity-based SLAs; (2) production environments are continuously monitored for vulnerabilities; (3) risk-based prioritisation (CVSS, EPSS, CISA KEV) determines remediation order; (4) dependency sources are restricted to approved/trusted registries; and (5) dependency risks beyond CVEs are evaluated — including licence compliance, maintainer activity, and project health — before adoption and ongoing.</t>
  </si>
  <si>
    <t>Tickets with owner, severity, SLA in team backlog; Severity→SLA mapping (Critical: 24hrs, High: 7 days) using CVSS, EPSS, CISA KEV; Runtime scanning, container re-scans, CSPM; Approved registries only (internal mirrors, policy-enforced npm/Maven/NuGet); Dependency risk reports covering licence, maintainer activity, project health. Evidence: triage records, ownership matrix, SLA policy, repository policies, dependency risk assessments.</t>
  </si>
  <si>
    <t>No formal triage process. Vulnerabilities not tracked or assigned. No ownership model — security team is bottleneck. No SLA mapping or prioritisation framework. Developers pull dependencies from any public source with no registry restrictions. Dependency risk evaluation limited to CVE scanning only.</t>
  </si>
  <si>
    <t>Triage happens inconsistently. Ownership unclear for some systems. SLAs exist but not consistently enforced. Prioritisation informal. Some guidance on approved dependency sources but not enforced. Ad-hoc licence checks occur occasionally. Maintainer and project health considered sometimes but not systematically.</t>
  </si>
  <si>
    <t>All vulnerabilities triaged with severity ratings and named owners. Formal SLA mapping applied consistently. Exploitability context factored into prioritisation. Continuous monitoring covers production systems. Dependency sources restricted to approved registries with enforcement. Licence compliance systematically checked. Dependency risk reviews include maintainer activity and project health for critical dependencies.</t>
  </si>
  <si>
    <t>Triage quality measured (time-to-triage, owner assignment rate). SLA compliance measured and reported. Prioritisation incorporates threat intelligence. Registry restrictions enforced through controls. Comprehensive dependency risk scoring integrates CVEs, licence, maintainer health, project viability. Automated alerts for high-risk dependencies. Dependency health tracked with governance reporting.</t>
  </si>
  <si>
    <t>Is vulnerability remediation tracked with metrics and dashboards, with controlled patch management, incidents linked to root causes, and unresolved risks formally recorded?</t>
  </si>
  <si>
    <t>This question assesses whether: (1) remediation metrics are tracked (open count, age, closure rate, SLA breaches); (2) a consolidated dashboard aggregates findings from all security tools; (3) a formal patch management process covers OS, dependencies, containers, and infrastructure with schedules, emergency procedures, testing, and rollback plans; (4) security incidents are analysed for root cause and linked to control improvements; and (5) unresolved vulnerabilities are recorded in a risk register with mitigation plans and stakeholder communication where required.</t>
  </si>
  <si>
    <t>Metrics: vuln age (p95), closure rate, SLA compliance, MTTR. Consolidated dashboard aggregating all security tool findings. Patch schedules, emergency fix processes, rollback plans. Dependency/container/platform patch currency tracked. RCA documents linking incidents to control gaps. Risk register with mitigation plans. Evidence: dashboards, reports, patch schedules, incident RCAs, risk register.</t>
  </si>
  <si>
    <t>No metrics tracked. No visibility into volume, age, or trend. Multiple siloed tools with no unified view. No formal patch management — patches applied ad hoc or not at all. Components significantly behind current secure versions. Emergency patch procedures undefined. Incidents resolved without root cause analysis. Unresolved vulnerabilities not recorded as risk.</t>
  </si>
  <si>
    <t>Some metrics captured but tracking inconsistent or manual. Dashboards exist for some tools but siloed. Patch schedule exists but not consistently followed. Some components patched regularly, others neglected. Emergency patch procedures informal. Testing before production not standardised. Some incidents have RCA but inconsistent. Some risks recorded but not all deferred vulnerabilities captured.</t>
  </si>
  <si>
    <t>Key metrics tracked consistently: open count, closure rate, age, overdue count. Consolidated dashboard aggregates all security tools, visible to team leads, reviewed regularly. Formal patch management documented: regular schedules, emergency procedures with clear ownership, pre-production testing, documented rollback capability. All significant incidents have documented RCA linked to control improvements. Unresolved vulnerabilities recorded in risk register with owners and review dates.</t>
  </si>
  <si>
    <t>Comprehensive metrics with trend data, SLA compliance, risk scoring. Dashboard feeds governance reporting with anomaly-triggered escalation. Patch currency measured across all components (OS, middleware, dependencies, containers). Patch compliance rates tracked. Emergency patch SLAs defined and measured. RCA findings systematically feed control improvements. Risk register integrated into enterprise risk reporting. Risk acceptance reviewed at governance level.</t>
  </si>
  <si>
    <t>Identity, Access &amp; Secrets Management</t>
  </si>
  <si>
    <t>Are RBAC/ABAC models implemented with MFA enforced for privileged and sensitive access?</t>
  </si>
  <si>
    <t>This question assesses whether a formal authorisation model (RBAC or ABAC) is implemented for applications and infrastructure — with roles designed around least privilege, permissions documented, and access periodically reviewed/recertified — AND whether MFA is enforced for all privileged access (admin accounts, production systems, sensitive data, CI/CD pipelines, cloud consoles).</t>
  </si>
  <si>
    <t>Documented role/permission matrix, ABAC policies, access review/recertification records, IdP role configuration, segregation-of-duties matrix; MFA enabled for admin access, production systems, sensitive data, CI/CD pipelines. Evidence: IdP config, MFA audit logs.</t>
  </si>
  <si>
    <t>No formal authorisation model. Permissions granted individually and ad hoc. No role matrix or access reviews. MFA is not enforced for any access. Passwords alone protect privileged accounts.</t>
  </si>
  <si>
    <t>Some roles defined but not comprehensive. Permissions may still be granted outside the model. Access reviews happen occasionally. MFA is enabled for some privileged access but coverage is incomplete. Some admin accounts or systems lack MFA.</t>
  </si>
  <si>
    <t>RBAC/ABAC model is implemented, documented, and consistently applied. Access reviews/recertification occur on a defined schedule. Segregation of duties is enforced for sensitive functions. MFA is enforced for all privileged access. Non-MFA privileged access is not permitted.</t>
  </si>
  <si>
    <t>Access control effectiveness is measured: orphaned accounts, privilege creep, access anomalies are tracked. Reviews are automated where possible. MFA coverage and bypass rates are monitored. Phishing-resistant MFA (hardware keys, passkeys) is deployed for highest-risk access.</t>
  </si>
  <si>
    <t>Are human credentials, machine/service identities, and runtime secrets securely managed, stored, and rotated?</t>
  </si>
  <si>
    <t>This question assesses whether: (1) Human credentials are managed securely (password managers, hardware keys, no shared accounts, secure recovery), (2) Service accounts and machine identities are secured (unique, least-privilege, rotated, no long-lived static secrets), and (3) Runtime secrets (API keys, tokens, certificates) are stored in vaults, injected securely, automatically rotated, and never hardcoded.</t>
  </si>
  <si>
    <t>Password managers for human credentials, hardware security keys/passkeys, no shared accounts; Service accounts with least-privilege, rotated credentials, no long-lived static keys; Secrets vaults (HashiCorp Vault, AWS Secrets Manager), no hardcoded secrets, automatic rotation. Evidence: vault configs, rotation logs, access reviews.</t>
  </si>
  <si>
    <t>Weak password practices, password reuse, shared accounts common. Service accounts are static, over-privileged, with long-lived or never-rotated credentials. Secrets are hardcoded in source, config files, or environment variables with no vault or rotation.</t>
  </si>
  <si>
    <t>Some password manager adoption. Some service accounts are managed, but practices vary. Secrets vaults exist for some applications, but hardcoded secrets still occur. Rotation is manual and inconsistent. Not all secrets are inventoried.</t>
  </si>
  <si>
    <t>Password managers and phishing-resistant credentials mandated. Service accounts are documented, least-privilege, and rotated on schedule. Secrets vaults are used for all applications. No hardcoded secrets policy is enforced. Secret rotation occurs on defined schedules.</t>
  </si>
  <si>
    <t>Credential hygiene metrics tracked (MFA adoption, password manager usage). Service account inventory is automated with anomaly detection. Secret rotation is automated with zero-touch workflows. Secret sprawl is measured and driven down. Vault access is audited and reviewed.</t>
  </si>
  <si>
    <t>Data Security &amp; Privacy</t>
  </si>
  <si>
    <t>Are data classification requirements defined, with PII/sensitive data identified, masked, tokenised, or encrypted?</t>
  </si>
  <si>
    <t>This question assesses whether the team has defined data classification levels (e.g., public, internal, confidential, restricted) with corresponding protection requirements, AND whether PII and sensitive data are identified, inventoried, and protected through appropriate controls — masking in non-production, tokenisation, field-level encryption, or access restrictions.</t>
  </si>
  <si>
    <t>Data classification policy mapping sensitivity levels to handling requirements; Data inventory/register identifying PII and sensitive data locations; Masking/tokenisation in non-production environments; Encryption of sensitive fields; Evidence: classification scheme, data maps.</t>
  </si>
  <si>
    <t>No data classification scheme exists. All data is handled identically. PII and sensitive data are not systematically identified. Sensitive data appears in logs, non-production environments, and test data without protection.</t>
  </si>
  <si>
    <t>Classification exists on paper but is inconsistently applied. Some PII is identified but coverage is incomplete. Sensitive data may be masked in some environments but not all. Data discovery is ad hoc rather than systematic.</t>
  </si>
  <si>
    <t>Data classification is defined, documented, and applied to applications. PII and sensitive data are inventoried and mapped. Protection controls (masking, tokenisation, encryption) are applied based on classification. Non-production environments use synthetic or masked data.</t>
  </si>
  <si>
    <t>Automated data discovery and classification tools identify sensitive data. Classification compliance is measured and reported. DLP controls enforce classification-based handling. Sensitive data exposure incidents are tracked and driven toward zero.</t>
  </si>
  <si>
    <t>Are encryption standards enforced (in transit and at rest) and are data retention/deletion policies defined and enforced?</t>
  </si>
  <si>
    <t>This question assesses whether encryption standards are defined and enforced — TLS 1.2+ for data in transit, AES-256 or equivalent for data at rest, proper certificate management — AND whether data retention periods are defined by data type with automated deletion workflows that are verified and audited.</t>
  </si>
  <si>
    <t>TLS 1.2+ for all transit, AES-256 for data at rest, certificate management, encryption validation scans; Retention schedules by data type, automated deletion workflows, deletion verification, legal hold processes. Evidence: TLS configs, encryption audits, retention policy, deletion logs.</t>
  </si>
  <si>
    <t>No encryption standards defined. Data may transit unencrypted or use deprecated protocols (TLS 1.0, SSL). Data at rest is unencrypted or uses weak encryption. No retention policy exists — data is kept indefinitely by default. No systematic deletion.</t>
  </si>
  <si>
    <t>Some encryption standards exist but enforcement is inconsistent. Some systems use proper TLS; others do not. Encryption at rest is applied to some but not all sensitive data. Retention policy exists but is not consistently applied. Deletion is manual and unverified.</t>
  </si>
  <si>
    <t>Encryption standards (TLS 1.2+, AES-256) are documented, enforced, and validated. Certificate management is in place. Retention schedules are defined and applied. Automated deletion workflows exist for expired data. Deletion is logged and auditable.</t>
  </si>
  <si>
    <t>Encryption compliance is continuously validated through automated scanning. Certificate expiry and weak protocols are automatically detected. Retention compliance is measured and reported. Deletion verification is automated. Exceptions are tracked and driven down.</t>
  </si>
  <si>
    <t>Third-Party &amp; Vendor Security</t>
  </si>
  <si>
    <t>Are vendors and third parties assessed for security posture before onboarding and continuously monitored thereafter?</t>
  </si>
  <si>
    <t>This question assesses whether vendors and third parties undergo security assessment before onboarding — evaluating certifications, security practices, and contractual obligations — AND whether vendor security posture is continuously monitored after onboarding through ratings services, periodic reassessments, and incident tracking, with a defined process to address detected risks.</t>
  </si>
  <si>
    <t>Pre-onboarding: Security questionnaires, SOC 2/ISO 27001 certifications, penetration test reports, contract security clauses. Post-onboarding: Continuous monitoring (SecurityScorecard, BitSight), periodic reassessments, contract renewal security reviews, vendor incident tracking. Evidence: vendor risk assessments, monitoring dashboards, reassessment records.</t>
  </si>
  <si>
    <t>No formal vendor security assessment before onboarding. Vendor selection is based on functionality and cost alone. After onboarding, no monitoring occurs. Vendor breaches or security incidents may go undetected. No visibility into third-party risk.</t>
  </si>
  <si>
    <t>Some vendors assessed before onboarding (e.g., large contracts) but coverage is inconsistent. Security criteria may be informal. Post-onboarding monitoring is ad hoc or limited to high-profile vendors. No systematic reassessment process.</t>
  </si>
  <si>
    <t>All vendors are assessed against defined security criteria before onboarding. Security requirements are included in contracts. Continuous monitoring is in place through ratings services or periodic reviews. Reassessments occur at contract renewal and when triggered by events.</t>
  </si>
  <si>
    <t>Vendor risk assessment is integrated into procurement workflows. Monitoring is automated and continuous. Vendor risk scores feed into enterprise risk reporting. Vendor security incidents trigger defined response processes. Metrics track vendor risk posture over time.</t>
  </si>
  <si>
    <t>People, Training</t>
  </si>
  <si>
    <t>Awareness</t>
  </si>
  <si>
    <t>Is security education (SSA E1 or equivalent) completed by all development and operational roles?</t>
  </si>
  <si>
    <t>This question assesses whether role-appropriate security education (such as SSA E1 or an equivalent programme) is required and completed by all development roles (developers, QA, tech leads, architects) AND operational/management roles (Ops engineers, EMs, platform teams) — covering security fundamentals, secure practices for their role, and organisational security policies.</t>
  </si>
  <si>
    <t>Developers, QA, Tech Leads, Ops, EMs trained on SSA E1 or equivalent security fundamentals. Evidence: LMS completion records, role mapping showing required vs. completed training, onboarding checklists.</t>
  </si>
  <si>
    <t>No mandatory security training exists. Security education is optional or ad hoc. Most team members have not completed any formal security training. Security awareness varies widely and unpredictably.</t>
  </si>
  <si>
    <t>Some training exists but completion is inconsistent. Certain roles (e.g., developers) may be trained while others (e.g., ops) are not. Training may be one-time onboarding with no refresh. Completion is not tracked or enforced.</t>
  </si>
  <si>
    <t>Security education is mandatory for all relevant roles. Completion is tracked and enforced. Training covers role-appropriate content. Refresh training occurs on a defined schedule. Non-completion is escalated.</t>
  </si>
  <si>
    <t>Training completion is measured and reported to governance. Training content is updated based on emerging threats, incident learnings, and role-specific needs. Training effectiveness is assessed (not just completion). Security champions receive advanced training.</t>
  </si>
  <si>
    <t>Governance &amp; Culture</t>
  </si>
  <si>
    <t>Is security embedded in operational governance, with recognition for security contributions and regular team-wide communication?</t>
  </si>
  <si>
    <t>This question assesses whether security is embedded in operational governance (standing agenda in ops reviews, post-incident reviews, sprint retros), whether proactive security contributions are recognised and rewarded (creating positive incentives), and whether security topics are regularly communicated through townhalls, shared forums, or community channels to maintain awareness and engagement.</t>
  </si>
  <si>
    <t>Security as standing agenda in ops reviews, post-incident reviews, sprint retrospectives; Recognition notes, awards, shout-outs for security work; Townhall security updates, Q&amp;A logs, shared community channels, security newsletters. Evidence: meeting agendas, recognition records, communication artifacts.</t>
  </si>
  <si>
    <t>Security is not part of operational governance discussions. No recognition for security contributions — security work is invisible or seen as a burden. No townhalls, forums, or communication channels for security topics.</t>
  </si>
  <si>
    <t>Security occasionally discussed in governance forums but not a standing agenda. Some informal recognition occurs but is inconsistent. Security communication happens sporadically. No structured approach to embedding security culture.</t>
  </si>
  <si>
    <t>Security is a standing agenda item in operational governance. Recognition for security contributions is systematic and visible. Regular security communication occurs through townhalls or shared channels. Teams have access to security support and knowledge resources.</t>
  </si>
  <si>
    <t>Security culture is actively measured (surveys, engagement metrics). Recognition is integrated into performance and career frameworks. Communication is bidirectional — team feedback shapes security priorities. Security champions are empowered and visible. Culture metrics are improving.</t>
  </si>
  <si>
    <t>Application Security Maturity Dashboard</t>
  </si>
  <si>
    <t>Security Assessment Framework - Maturity Summary</t>
  </si>
  <si>
    <t>OVERALL MATURITY SCORE</t>
  </si>
  <si>
    <t>Average Score [0 - Not Started, 3 - Embedded &amp; Measured]</t>
  </si>
  <si>
    <t>Maturity Percentage</t>
  </si>
  <si>
    <t>Status</t>
  </si>
  <si>
    <t>Not Scored:</t>
  </si>
  <si>
    <t>MATURITY BY SECURITY DOMAIN</t>
  </si>
  <si>
    <t>Domain</t>
  </si>
  <si>
    <t>Avg Score</t>
  </si>
  <si>
    <t>Maturity %</t>
  </si>
  <si>
    <t>Progress Bar</t>
  </si>
  <si>
    <t>STATUS THRESHOLD DEFINITIONS</t>
  </si>
  <si>
    <t>Threshold</t>
  </si>
  <si>
    <t>Description</t>
  </si>
  <si>
    <t>Action Required</t>
  </si>
  <si>
    <t>Critically Concerning</t>
  </si>
  <si>
    <t>&lt; 25%</t>
  </si>
  <si>
    <t>Significant security gaps exist across the domain</t>
  </si>
  <si>
    <t>Immediate remediation required - escalate to leadership</t>
  </si>
  <si>
    <t>Needs Improvement</t>
  </si>
  <si>
    <t>25% - 49%</t>
  </si>
  <si>
    <t>Basic controls may exist but are inconsistent</t>
  </si>
  <si>
    <t>Prioritize improvements in current planning cycle</t>
  </si>
  <si>
    <t>Progressing</t>
  </si>
  <si>
    <t>50% - 74%</t>
  </si>
  <si>
    <t>Controls are in place but not fully embedded</t>
  </si>
  <si>
    <t>Continue maturation; track progress quarterly</t>
  </si>
  <si>
    <t>Good</t>
  </si>
  <si>
    <t>75% - 89%</t>
  </si>
  <si>
    <t>Controls are consistently applied and measured</t>
  </si>
  <si>
    <t>Maintain and optimize; annual review sufficient</t>
  </si>
  <si>
    <t>Excellent</t>
  </si>
  <si>
    <t>≥ 90%</t>
  </si>
  <si>
    <t>Controls are embedded, automated, and continuously improved</t>
  </si>
  <si>
    <t>Sustain excellence; share best practices</t>
  </si>
  <si>
    <t>MATURITY LEVEL DISTRIBUTION</t>
  </si>
  <si>
    <t>Count</t>
  </si>
  <si>
    <t>Maturity Level</t>
  </si>
  <si>
    <t>Score</t>
  </si>
  <si>
    <t>% of Domains</t>
  </si>
  <si>
    <t>25-49%</t>
  </si>
  <si>
    <t>50-74%</t>
  </si>
  <si>
    <t>75-89%</t>
  </si>
  <si>
    <t>No Data</t>
  </si>
  <si>
    <t>-</t>
  </si>
  <si>
    <t>HOW TO USE THIS DASHBOARD</t>
  </si>
  <si>
    <t>Navigate to the 'ApplicationSecurityv1' sheet</t>
  </si>
  <si>
    <t>Enter maturity scores (0-3) in Column D for each assessment item</t>
  </si>
  <si>
    <t>Scores: 0=Not Started, 1=Partially Implemented, 2=Consistently Implemented, 3=Embedded &amp; Measured</t>
  </si>
  <si>
    <t>This dashboard automatically calculates percentages and status for each domain</t>
  </si>
  <si>
    <t>Use the threshold definitions to understand what each status level means</t>
  </si>
  <si>
    <t>Focus remediation efforts on domains showing 'Critically Concerning' or 'Needs Improvement'</t>
  </si>
  <si>
    <t>Examples / Evidence (What teams can reference)</t>
  </si>
  <si>
    <t>Maturity Score</t>
  </si>
  <si>
    <t>Not started [0]</t>
  </si>
  <si>
    <t>Are security tools implemented to detect vulnerabilities across code, dependencies, containers, and cloud resources during development?</t>
  </si>
  <si>
    <t>SAST, SCA, container image scanning, IaC scanning, CSPM integrated with CI/CD. Evidence: tool list, pipeline configs, scan reports.</t>
  </si>
  <si>
    <t>Partially implemented [1]</t>
  </si>
  <si>
    <t>Are security scans triggered automatically as part of CI pipelines?</t>
  </si>
  <si>
    <t>Pipelines run scans on PR, merge, or build. Evidence: pipeline YAML, logs showing scan execution.</t>
  </si>
  <si>
    <t>Consistently implemented [2]</t>
  </si>
  <si>
    <t>Are CI/CD security gates enforced to prevent code promotion on critical and high findings?</t>
  </si>
  <si>
    <t>Builds fail on severity thresholds. Evidence: failed pipeline runs, gate criteria.</t>
  </si>
  <si>
    <t>Embedded &amp; measured [3]</t>
  </si>
  <si>
    <t>Are pipeline security findings clearly actionable for developers?</t>
  </si>
  <si>
    <t>Tool feedback links to fix guidance, code locations, or AI‑assisted remediation.</t>
  </si>
  <si>
    <t>Are vulnerabilities assessed post‑discovery, triaged and owned by development teams?</t>
  </si>
  <si>
    <t>Tickets created with owner, severity, SLA. Evidence:  backlog.</t>
  </si>
  <si>
    <t>Are remediation priorities driven by severity and exploitability?</t>
  </si>
  <si>
    <t>Defined severity → SLA mapping. Evidence: policy, working examples.</t>
  </si>
  <si>
    <t>Is vulnerability remediation progress tracked with metrics?</t>
  </si>
  <si>
    <t>Metrics such as vuln age (p95), closure rate, trend by sprint/release.</t>
  </si>
  <si>
    <t>Is security scanning embedded early (IDE / pre‑commit / PR stage)?</t>
  </si>
  <si>
    <t>IDE plugins, pre‑commit hooks, PR checks enabled.</t>
  </si>
  <si>
    <t>Automation (e.g., Copilot or equivalent) is used to assist with security fixes.</t>
  </si>
  <si>
    <t>Are security issues fixed before merge or release?</t>
  </si>
  <si>
    <t>PRs show fixes prior to approval; no deferred critical issues.</t>
  </si>
  <si>
    <t>Are secure coding practices formally defined and adopted?</t>
  </si>
  <si>
    <t>Secure coding standards, OWASP mapping, references in DoD.</t>
  </si>
  <si>
    <t>Does Code reviews explicitly include security considerations.</t>
  </si>
  <si>
    <t>PR templates include security questions or checks.</t>
  </si>
  <si>
    <t>Is threat modelling performed for significant design or feature changes?</t>
  </si>
  <si>
    <t>Threat models, diagrams, or security review notes attached to designs.</t>
  </si>
  <si>
    <t>Security NFRs in stories, DoD, design docs.</t>
  </si>
  <si>
    <t>Are Security reviews mandated at the design stage.</t>
  </si>
  <si>
    <t>Design review checklist includes security sign‑off.</t>
  </si>
  <si>
    <t>Is SSA E1 security education completed by development roles?</t>
  </si>
  <si>
    <t>Developers, QA, Tech Leads trained on SSA E1. Evidence: LMS records, role mapping.</t>
  </si>
  <si>
    <t>Are applications and platforms continuously monitored for security vulnerabilities in production?</t>
  </si>
  <si>
    <t>Runtime vuln scanning, container re‑scans, cloud posture monitoring.</t>
  </si>
  <si>
    <t>Are production vulnerabilities clearly owned by application or platform teams?</t>
  </si>
  <si>
    <t>Ownership model defined; tickets assigned to ops/app teams.</t>
  </si>
  <si>
    <t>Are remediation SLAs defined and adhered to in operations?</t>
  </si>
  <si>
    <t>SLA by severity; evidence of closure within timelines.</t>
  </si>
  <si>
    <t>Is vulnerability age tracked and reviewed operationally?</t>
  </si>
  <si>
    <t>p95 vuln age dashboards, ops reviews, escalation records.</t>
  </si>
  <si>
    <t>Are security patches and dependency updates managed in a controlled manner?</t>
  </si>
  <si>
    <t>Patch schedules, emergency fix processes, rollback plans.</t>
  </si>
  <si>
    <t>Are security incidents or near‑misses linked back to root causes?</t>
  </si>
  <si>
    <t>RCA documents mapping incidents to missed controls or risks.</t>
  </si>
  <si>
    <t>Are risks arising from unresolved vulnerabilities formally recorded?</t>
  </si>
  <si>
    <t>Risk register entries with mitigation plans.</t>
  </si>
  <si>
    <t>Are open security risks communicated to stakeholders/customers where required?</t>
  </si>
  <si>
    <t>Risk communication records, governance decks, emails.</t>
  </si>
  <si>
    <t>Are access controls and secrets managed securely in runtime?</t>
  </si>
  <si>
    <t>Secrets vaults, rotation evidence, access reviews.</t>
  </si>
  <si>
    <t>Are operational teams trained on security responsibilities (SSA E1 for Ops/EM roles)?</t>
  </si>
  <si>
    <t>SSA E1 completion for Ops, EMs. Evidence: LMS, onboarding checklists.</t>
  </si>
  <si>
    <t>Are security topics reviewed in operational governance forums?</t>
  </si>
  <si>
    <t>Ops reviews, post‑incident reviews, security agenda items.</t>
  </si>
  <si>
    <t>Does reward or recognition culture exists for proactive security improvements.</t>
  </si>
  <si>
    <t>Recognition notes, awards, shout‑outs for security work.</t>
  </si>
  <si>
    <t>Are Security topics discussed via townhalls or shared forums.</t>
  </si>
  <si>
    <t>Townhall decks, Q&amp;A logs, shared community channels.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</si>
</sst>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quot;"/>
    <numFmt numFmtId="165" formatCode="0&quot;%&quot;"/>
  </numFmts>
  <fonts count="16">
    <font>
      <sz val="11"/>
      <color theme="1"/>
      <name val="Aptos Narrow"/>
      <family val="2"/>
      <scheme val="minor"/>
    </font>
    <font>
      <sz val="12"/>
      <color theme="1"/>
      <name val="Aptos Narrow"/>
      <family val="2"/>
      <scheme val="minor"/>
    </font>
    <font>
      <b/>
      <sz val="11"/>
      <color theme="1"/>
      <name val="Aptos Narrow"/>
      <family val="2"/>
      <scheme val="minor"/>
    </font>
    <font>
      <sz val="11"/>
      <color theme="1"/>
      <name val="Aptos Narrow"/>
      <family val="2"/>
      <scheme val="minor"/>
    </font>
    <font>
      <b/>
      <sz val="12"/>
      <color theme="1"/>
      <name val="Segoe UI"/>
    </font>
    <font>
      <sz val="11"/>
      <color theme="1"/>
      <name val="Segoe UI"/>
    </font>
    <font>
      <sz val="12"/>
      <color theme="1"/>
      <name val="Segoe UI"/>
    </font>
    <font>
      <sz val="11"/>
      <color theme="0" tint="-0.14999847407452621"/>
      <name val="Aptos Narrow"/>
      <family val="2"/>
      <scheme val="minor"/>
    </font>
    <font>
      <sz val="12"/>
      <color theme="0" tint="-0.14999847407452621"/>
      <name val="Segoe UI"/>
    </font>
    <font>
      <b/>
      <sz val="12"/>
      <color theme="0"/>
      <name val="Segoe UI"/>
    </font>
    <font>
      <b/>
      <sz val="18"/>
      <color rgb="FF1F4E79"/>
      <name val="Aptos Narrow"/>
      <family val="2"/>
      <scheme val="minor"/>
    </font>
    <font>
      <i/>
      <sz val="11"/>
      <color rgb="FF5B5B5B"/>
      <name val="Aptos Narrow"/>
      <family val="2"/>
      <scheme val="minor"/>
    </font>
    <font>
      <b/>
      <sz val="12"/>
      <color rgb="FFFFFFFF"/>
      <name val="Aptos Narrow"/>
      <family val="2"/>
      <scheme val="minor"/>
    </font>
    <font>
      <sz val="11"/>
      <color theme="1"/>
      <name val="Consolas"/>
    </font>
    <font>
      <b/>
      <i/>
      <sz val="11"/>
      <color rgb="FF666666"/>
      <name val="Aptos Narrow"/>
      <family val="2"/>
      <scheme val="minor"/>
    </font>
    <font>
      <b/>
      <sz val="11"/>
      <color theme="0"/>
      <name val="Aptos Narrow"/>
      <family val="2"/>
    </font>
  </fonts>
  <fills count="15">
    <fill>
      <patternFill patternType="none"/>
    </fill>
    <fill>
      <patternFill patternType="gray125"/>
    </fill>
    <fill>
      <patternFill patternType="solid">
        <fgColor theme="4" tint="0.59999389629810485"/>
        <bgColor indexed="64"/>
      </patternFill>
    </fill>
    <fill>
      <patternFill patternType="solid">
        <fgColor theme="3" tint="9.9978637043366805E-2"/>
        <bgColor indexed="64"/>
      </patternFill>
    </fill>
    <fill>
      <patternFill patternType="solid">
        <fgColor rgb="FF1F4E79"/>
        <bgColor indexed="64"/>
      </patternFill>
    </fill>
    <fill>
      <patternFill patternType="solid">
        <fgColor rgb="FFF2F2F2"/>
        <bgColor indexed="64"/>
      </patternFill>
    </fill>
    <fill>
      <patternFill patternType="solid">
        <fgColor rgb="FFE2EFDA"/>
        <bgColor indexed="64"/>
      </patternFill>
    </fill>
    <fill>
      <patternFill patternType="solid">
        <fgColor rgb="FFD6DCE4"/>
        <bgColor indexed="64"/>
      </patternFill>
    </fill>
    <fill>
      <patternFill patternType="solid">
        <fgColor rgb="FFF8F8F8"/>
        <bgColor indexed="64"/>
      </patternFill>
    </fill>
    <fill>
      <patternFill patternType="solid">
        <fgColor rgb="FFFF6B6B"/>
        <bgColor indexed="64"/>
      </patternFill>
    </fill>
    <fill>
      <patternFill patternType="solid">
        <fgColor rgb="FFFFD93D"/>
        <bgColor indexed="64"/>
      </patternFill>
    </fill>
    <fill>
      <patternFill patternType="solid">
        <fgColor rgb="FF6BCB77"/>
        <bgColor indexed="64"/>
      </patternFill>
    </fill>
    <fill>
      <patternFill patternType="solid">
        <fgColor rgb="FF4ECDC4"/>
        <bgColor indexed="64"/>
      </patternFill>
    </fill>
    <fill>
      <patternFill patternType="solid">
        <fgColor rgb="FF45B7D1"/>
        <bgColor indexed="64"/>
      </patternFill>
    </fill>
    <fill>
      <patternFill patternType="solid">
        <fgColor rgb="FFCCCCCC"/>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theme="4"/>
      </left>
      <right/>
      <top style="thin">
        <color theme="4"/>
      </top>
      <bottom/>
      <diagonal/>
    </border>
    <border>
      <left style="thin">
        <color theme="4"/>
      </left>
      <right/>
      <top style="thin">
        <color theme="4"/>
      </top>
      <bottom style="thin">
        <color theme="4"/>
      </bottom>
      <diagonal/>
    </border>
  </borders>
  <cellStyleXfs count="3">
    <xf numFmtId="0" fontId="0" fillId="0" borderId="0"/>
    <xf numFmtId="0" fontId="1" fillId="0" borderId="0"/>
    <xf numFmtId="0" fontId="3" fillId="0" borderId="0"/>
  </cellStyleXfs>
  <cellXfs count="53">
    <xf numFmtId="0" fontId="0" fillId="0" borderId="0" xfId="0"/>
    <xf numFmtId="0" fontId="0" fillId="0" borderId="0" xfId="0" applyAlignment="1">
      <alignment wrapText="1"/>
    </xf>
    <xf numFmtId="0" fontId="4" fillId="2" borderId="1" xfId="1" applyFont="1" applyFill="1" applyBorder="1" applyAlignment="1">
      <alignment vertical="center" wrapText="1"/>
    </xf>
    <xf numFmtId="0" fontId="3" fillId="0" borderId="1" xfId="2" applyBorder="1"/>
    <xf numFmtId="0" fontId="5" fillId="0" borderId="1" xfId="2" applyFont="1" applyBorder="1"/>
    <xf numFmtId="0" fontId="6" fillId="0" borderId="1" xfId="1" applyFont="1" applyBorder="1" applyAlignment="1">
      <alignment vertical="center" wrapText="1"/>
    </xf>
    <xf numFmtId="0" fontId="5" fillId="0" borderId="1" xfId="2" applyFont="1" applyBorder="1" applyAlignment="1">
      <alignment wrapText="1"/>
    </xf>
    <xf numFmtId="0" fontId="3" fillId="0" borderId="1" xfId="2" applyBorder="1" applyAlignment="1">
      <alignment wrapText="1"/>
    </xf>
    <xf numFmtId="0" fontId="7" fillId="0" borderId="1" xfId="2" applyFont="1" applyBorder="1"/>
    <xf numFmtId="0" fontId="8" fillId="0" borderId="1" xfId="1" applyFont="1" applyBorder="1" applyAlignment="1">
      <alignment vertical="center" wrapText="1"/>
    </xf>
    <xf numFmtId="0" fontId="0" fillId="0" borderId="2" xfId="0" applyBorder="1" applyAlignment="1">
      <alignment vertical="top" wrapText="1"/>
    </xf>
    <xf numFmtId="0" fontId="5" fillId="0" borderId="2" xfId="2" applyFont="1" applyBorder="1" applyAlignment="1">
      <alignment vertical="top" wrapText="1"/>
    </xf>
    <xf numFmtId="0" fontId="6" fillId="0" borderId="2" xfId="1" applyFont="1" applyBorder="1" applyAlignment="1">
      <alignment vertical="top" wrapText="1"/>
    </xf>
    <xf numFmtId="0" fontId="9" fillId="3" borderId="1" xfId="1" applyFont="1" applyFill="1" applyBorder="1" applyAlignment="1">
      <alignment horizontal="center" vertical="center" wrapText="1"/>
    </xf>
    <xf numFmtId="0" fontId="10" fillId="0" borderId="0" xfId="0" applyFont="1"/>
    <xf numFmtId="0" fontId="11" fillId="0" borderId="0" xfId="0" applyFont="1"/>
    <xf numFmtId="164" fontId="0" fillId="0" borderId="0" xfId="0" applyNumberFormat="1"/>
    <xf numFmtId="0" fontId="0" fillId="5" borderId="0" xfId="0" applyFill="1"/>
    <xf numFmtId="0" fontId="0" fillId="6" borderId="0" xfId="0" applyFill="1"/>
    <xf numFmtId="0" fontId="2" fillId="7" borderId="0" xfId="0" applyFont="1" applyFill="1"/>
    <xf numFmtId="0" fontId="2" fillId="7" borderId="0" xfId="0" applyFont="1" applyFill="1" applyAlignment="1">
      <alignment horizontal="center"/>
    </xf>
    <xf numFmtId="0" fontId="13" fillId="0" borderId="0" xfId="0" applyFont="1"/>
    <xf numFmtId="0" fontId="0" fillId="0" borderId="0" xfId="0"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0" fillId="8" borderId="0" xfId="0" applyFill="1"/>
    <xf numFmtId="0" fontId="0" fillId="8" borderId="0" xfId="0" applyFill="1" applyAlignment="1">
      <alignment horizontal="center"/>
    </xf>
    <xf numFmtId="2" fontId="0" fillId="8" borderId="0" xfId="0" applyNumberFormat="1" applyFill="1" applyAlignment="1">
      <alignment horizontal="center"/>
    </xf>
    <xf numFmtId="164" fontId="0" fillId="8" borderId="0" xfId="0" applyNumberFormat="1" applyFill="1" applyAlignment="1">
      <alignment horizontal="center"/>
    </xf>
    <xf numFmtId="0" fontId="13" fillId="8" borderId="0" xfId="0" applyFont="1"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165" fontId="0" fillId="0" borderId="0" xfId="0" applyNumberFormat="1" applyAlignment="1">
      <alignment horizontal="center"/>
    </xf>
    <xf numFmtId="0" fontId="14" fillId="0" borderId="0" xfId="0" applyFont="1"/>
    <xf numFmtId="0" fontId="2" fillId="9" borderId="0" xfId="0" applyFont="1" applyFill="1" applyAlignment="1">
      <alignment wrapText="1"/>
    </xf>
    <xf numFmtId="0" fontId="2" fillId="10" borderId="0" xfId="0" applyFont="1" applyFill="1" applyAlignment="1">
      <alignment wrapText="1"/>
    </xf>
    <xf numFmtId="0" fontId="2" fillId="11" borderId="0" xfId="0" applyFont="1" applyFill="1" applyAlignment="1">
      <alignment wrapText="1"/>
    </xf>
    <xf numFmtId="0" fontId="2" fillId="12" borderId="0" xfId="0" applyFont="1" applyFill="1" applyAlignment="1">
      <alignment wrapText="1"/>
    </xf>
    <xf numFmtId="0" fontId="2" fillId="13" borderId="0" xfId="0" applyFont="1" applyFill="1" applyAlignment="1">
      <alignment wrapText="1"/>
    </xf>
    <xf numFmtId="0" fontId="2" fillId="0" borderId="0" xfId="0" applyFont="1" applyAlignment="1">
      <alignment horizontal="right" wrapText="1"/>
    </xf>
    <xf numFmtId="0" fontId="0" fillId="0" borderId="3" xfId="0" applyBorder="1" applyAlignment="1">
      <alignment vertical="top" wrapText="1"/>
    </xf>
    <xf numFmtId="0" fontId="15" fillId="3" borderId="2" xfId="0" applyFont="1" applyFill="1" applyBorder="1" applyAlignment="1">
      <alignment horizontal="center" vertical="center" wrapText="1"/>
    </xf>
    <xf numFmtId="0" fontId="0" fillId="0" borderId="4" xfId="2" applyFont="1" applyBorder="1" applyAlignment="1">
      <alignment vertical="top" wrapText="1"/>
    </xf>
    <xf numFmtId="0" fontId="0" fillId="0" borderId="5" xfId="2" applyFont="1" applyBorder="1" applyAlignment="1">
      <alignment vertical="top" wrapText="1"/>
    </xf>
    <xf numFmtId="0" fontId="15" fillId="3" borderId="3" xfId="0" applyFont="1" applyFill="1" applyBorder="1" applyAlignment="1">
      <alignment horizontal="center" vertical="center" wrapText="1"/>
    </xf>
    <xf numFmtId="0" fontId="0" fillId="0" borderId="0" xfId="0" applyAlignment="1">
      <alignment wrapText="1"/>
    </xf>
    <xf numFmtId="0" fontId="12" fillId="4" borderId="0" xfId="0" applyFont="1" applyFill="1" applyAlignment="1">
      <alignment horizontal="center"/>
    </xf>
    <xf numFmtId="0" fontId="15" fillId="3" borderId="0" xfId="0" applyFont="1" applyFill="1" applyBorder="1" applyAlignment="1">
      <alignment horizontal="center" vertical="center" wrapText="1"/>
    </xf>
    <xf numFmtId="0" fontId="0" fillId="0" borderId="0" xfId="0" applyAlignment="1"/>
  </cellXfs>
  <cellStyles count="3">
    <cellStyle name="Normal" xfId="0" builtinId="0"/>
    <cellStyle name="Normal 2" xfId="1" xr:uid="{00000000-0005-0000-0000-000001000000}"/>
    <cellStyle name="Normal 2 2" xfId="2" xr:uid="{00000000-0005-0000-0000-000002000000}"/>
  </cellStyles>
  <dxfs count="20">
    <dxf>
      <font>
        <b val="0"/>
        <i/>
        <color rgb="FF666666"/>
      </font>
      <fill>
        <patternFill patternType="solid">
          <fgColor indexed="64"/>
          <bgColor rgb="FFCCCCCC"/>
        </patternFill>
      </fill>
    </dxf>
    <dxf>
      <font>
        <b/>
        <i val="0"/>
        <color rgb="FFFFFFFF"/>
      </font>
      <fill>
        <patternFill patternType="solid">
          <fgColor indexed="64"/>
          <bgColor rgb="FF45B7D1"/>
        </patternFill>
      </fill>
    </dxf>
    <dxf>
      <font>
        <b/>
        <i val="0"/>
        <color rgb="FF000000"/>
      </font>
      <fill>
        <patternFill patternType="solid">
          <fgColor indexed="64"/>
          <bgColor rgb="FF4ECDC4"/>
        </patternFill>
      </fill>
    </dxf>
    <dxf>
      <font>
        <b/>
        <i val="0"/>
        <color rgb="FF000000"/>
      </font>
      <fill>
        <patternFill patternType="solid">
          <fgColor indexed="64"/>
          <bgColor rgb="FF6BCB77"/>
        </patternFill>
      </fill>
    </dxf>
    <dxf>
      <font>
        <b/>
        <i val="0"/>
        <color rgb="FF000000"/>
      </font>
      <fill>
        <patternFill patternType="solid">
          <fgColor indexed="64"/>
          <bgColor rgb="FFFFD93D"/>
        </patternFill>
      </fill>
    </dxf>
    <dxf>
      <font>
        <b/>
        <i val="0"/>
        <color rgb="FFFFFFFF"/>
      </font>
      <fill>
        <patternFill patternType="solid">
          <fgColor indexed="64"/>
          <bgColor rgb="FFFF6B6B"/>
        </patternFill>
      </fill>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name val="Segoe UI"/>
        <scheme val="none"/>
      </font>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theme="1"/>
        <name val="Segoe UI"/>
        <scheme val="none"/>
      </font>
      <numFmt numFmtId="0" formatCode="General"/>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1" indent="0" justifyLastLine="0" shrinkToFit="0" readingOrder="0"/>
      <border diagonalUp="0" diagonalDown="0">
        <left style="thin">
          <color theme="4"/>
        </left>
        <right/>
        <top style="thin">
          <color theme="4"/>
        </top>
        <bottom/>
        <vertical/>
        <horizontal/>
      </border>
    </dxf>
    <dxf>
      <border outline="0">
        <right style="thin">
          <color rgb="FFD9D9D9"/>
        </right>
      </border>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0"/>
        <name val="Aptos Narrow"/>
        <family val="2"/>
        <scheme val="none"/>
      </font>
      <fill>
        <patternFill patternType="solid">
          <fgColor indexed="64"/>
          <bgColor theme="3" tint="9.9978637043366805E-2"/>
        </patternFill>
      </fill>
      <alignment horizontal="center" vertical="center" textRotation="0" wrapText="1" indent="0" justifyLastLine="0" shrinkToFit="0" readingOrder="0"/>
      <border diagonalUp="0" diagonalDown="0" outline="0">
        <left style="thin">
          <color rgb="FFD9D9D9"/>
        </left>
        <right style="thin">
          <color rgb="FFD9D9D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9734CF-C423-4BE5-A451-F0A03BA44997}" name="Table2" displayName="Table2" ref="A1:K19" totalsRowShown="0" headerRowDxfId="19" dataDxfId="18" tableBorderDxfId="17">
  <autoFilter ref="A1:K19" xr:uid="{629734CF-C423-4BE5-A451-F0A03BA44997}"/>
  <tableColumns count="11">
    <tableColumn id="1" xr3:uid="{3F4213DD-C4CD-4509-B253-12C519420930}" name="Appsec Category" dataDxfId="16" dataCellStyle="Normal 2 2"/>
    <tableColumn id="2" xr3:uid="{50AEFADC-196C-4230-B798-EA0008D5ADAD}" name="Appsec Maturity Stage" dataDxfId="15"/>
    <tableColumn id="3" xr3:uid="{45250FDA-11B8-4520-8FB0-355AE7F5E997}" name="Assessment Item" dataDxfId="14"/>
    <tableColumn id="4" xr3:uid="{43BD034E-A108-4B9F-B204-0D840FE0CE4A}" name="Project Assessed Score_x000a_(To be filled by the project team)" dataDxfId="13" dataCellStyle="Normal 2 2"/>
    <tableColumn id="11" xr3:uid="{8AF2835E-C8A6-47E9-A4F9-4361F4A098B9}" name="Comments" dataDxfId="12" dataCellStyle="Normal 2 2"/>
    <tableColumn id="5" xr3:uid="{E5A978AE-BFEA-48AE-8059-538DC4A0CD8C}" name="Description (What this question Actually Means)" dataDxfId="11"/>
    <tableColumn id="6" xr3:uid="{F1B21E5B-EB61-4BAE-8E94-407F647C28E6}" name="Examples / Evidence for teams to reference" dataDxfId="10"/>
    <tableColumn id="7" xr3:uid="{84EFCB3C-0138-4E19-8ADF-1ADDA7529934}" name="Not Started [0] – Scoring Criteria" dataDxfId="9"/>
    <tableColumn id="8" xr3:uid="{AE4C3DAF-BA85-405A-AE3D-98B3B05F385D}" name="Partially Implemented [1] – Scoring Criteria" dataDxfId="8"/>
    <tableColumn id="9" xr3:uid="{5CFA6743-0F26-47DD-A550-78904EB379D2}" name="Consistently Implemented [2] – Scoring Criteria" dataDxfId="7"/>
    <tableColumn id="10" xr3:uid="{3830F7E1-C3C3-43A8-8377-34C6A1A13760}" name="Embedded &amp; Measured [3] – Scoring Criteria" dataDxfId="6"/>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88865-A7F4-4541-9841-4A444416277C}">
  <dimension ref="A1:K19"/>
  <sheetViews>
    <sheetView tabSelected="1" workbookViewId="0">
      <selection activeCell="E1" sqref="E1"/>
    </sheetView>
  </sheetViews>
  <sheetFormatPr defaultColWidth="9.140625" defaultRowHeight="15"/>
  <cols>
    <col min="1" max="1" width="23.140625" customWidth="1"/>
    <col min="2" max="2" width="17.5703125" bestFit="1" customWidth="1"/>
    <col min="3" max="3" width="55.85546875" customWidth="1"/>
    <col min="4" max="4" width="31" bestFit="1" customWidth="1"/>
    <col min="5" max="6" width="51.28515625" customWidth="1"/>
    <col min="7" max="7" width="40.5703125" bestFit="1" customWidth="1"/>
    <col min="8" max="8" width="48.85546875" customWidth="1"/>
    <col min="9" max="9" width="48" customWidth="1"/>
    <col min="10" max="10" width="47.5703125" customWidth="1"/>
    <col min="11" max="11" width="59.28515625" customWidth="1"/>
  </cols>
  <sheetData>
    <row r="1" spans="1:11" ht="52.5">
      <c r="A1" s="13" t="s">
        <v>0</v>
      </c>
      <c r="B1" s="45" t="s">
        <v>1</v>
      </c>
      <c r="C1" s="13" t="s">
        <v>2</v>
      </c>
      <c r="D1" s="13" t="s">
        <v>3</v>
      </c>
      <c r="E1" s="51" t="s">
        <v>4</v>
      </c>
      <c r="F1" s="45" t="s">
        <v>5</v>
      </c>
      <c r="G1" s="13" t="s">
        <v>6</v>
      </c>
      <c r="H1" s="45" t="s">
        <v>7</v>
      </c>
      <c r="I1" s="45" t="s">
        <v>8</v>
      </c>
      <c r="J1" s="45" t="s">
        <v>9</v>
      </c>
      <c r="K1" s="48" t="s">
        <v>10</v>
      </c>
    </row>
    <row r="2" spans="1:11" ht="149.25">
      <c r="A2" s="46" t="s">
        <v>11</v>
      </c>
      <c r="B2" s="10" t="s">
        <v>12</v>
      </c>
      <c r="C2" s="11" t="s">
        <v>13</v>
      </c>
      <c r="D2" s="11" t="s">
        <v>14</v>
      </c>
      <c r="E2" s="10"/>
      <c r="F2" s="10" t="s">
        <v>15</v>
      </c>
      <c r="G2" s="11" t="s">
        <v>16</v>
      </c>
      <c r="H2" s="10" t="s">
        <v>17</v>
      </c>
      <c r="I2" s="10" t="s">
        <v>18</v>
      </c>
      <c r="J2" s="10" t="s">
        <v>19</v>
      </c>
      <c r="K2" s="44" t="s">
        <v>20</v>
      </c>
    </row>
    <row r="3" spans="1:11" ht="130.5">
      <c r="A3" s="46" t="s">
        <v>11</v>
      </c>
      <c r="B3" s="10" t="s">
        <v>12</v>
      </c>
      <c r="C3" s="11" t="s">
        <v>21</v>
      </c>
      <c r="D3" s="11" t="s">
        <v>22</v>
      </c>
      <c r="E3" s="10"/>
      <c r="F3" s="10" t="s">
        <v>23</v>
      </c>
      <c r="G3" s="11" t="s">
        <v>24</v>
      </c>
      <c r="H3" s="10" t="s">
        <v>25</v>
      </c>
      <c r="I3" s="10" t="s">
        <v>26</v>
      </c>
      <c r="J3" s="10" t="s">
        <v>27</v>
      </c>
      <c r="K3" s="44" t="s">
        <v>28</v>
      </c>
    </row>
    <row r="4" spans="1:11" ht="130.5">
      <c r="A4" s="46" t="s">
        <v>11</v>
      </c>
      <c r="B4" s="10" t="s">
        <v>12</v>
      </c>
      <c r="C4" s="11" t="s">
        <v>29</v>
      </c>
      <c r="D4" s="11" t="s">
        <v>30</v>
      </c>
      <c r="E4" s="10"/>
      <c r="F4" s="10" t="s">
        <v>31</v>
      </c>
      <c r="G4" s="11" t="s">
        <v>32</v>
      </c>
      <c r="H4" s="10" t="s">
        <v>33</v>
      </c>
      <c r="I4" s="10" t="s">
        <v>34</v>
      </c>
      <c r="J4" s="10" t="s">
        <v>35</v>
      </c>
      <c r="K4" s="44" t="s">
        <v>36</v>
      </c>
    </row>
    <row r="5" spans="1:11" ht="115.5">
      <c r="A5" s="46" t="s">
        <v>37</v>
      </c>
      <c r="B5" s="10" t="s">
        <v>12</v>
      </c>
      <c r="C5" s="11" t="s">
        <v>38</v>
      </c>
      <c r="D5" s="11" t="s">
        <v>14</v>
      </c>
      <c r="E5" s="10"/>
      <c r="F5" s="10" t="s">
        <v>39</v>
      </c>
      <c r="G5" s="11" t="s">
        <v>40</v>
      </c>
      <c r="H5" s="10" t="s">
        <v>41</v>
      </c>
      <c r="I5" s="10" t="s">
        <v>42</v>
      </c>
      <c r="J5" s="10" t="s">
        <v>43</v>
      </c>
      <c r="K5" s="44" t="s">
        <v>44</v>
      </c>
    </row>
    <row r="6" spans="1:11" ht="157.5">
      <c r="A6" s="46" t="s">
        <v>37</v>
      </c>
      <c r="B6" s="10" t="s">
        <v>12</v>
      </c>
      <c r="C6" s="12" t="s">
        <v>45</v>
      </c>
      <c r="D6" s="11" t="s">
        <v>46</v>
      </c>
      <c r="E6" s="10"/>
      <c r="F6" s="10" t="s">
        <v>47</v>
      </c>
      <c r="G6" s="12" t="s">
        <v>48</v>
      </c>
      <c r="H6" s="10" t="s">
        <v>49</v>
      </c>
      <c r="I6" s="10" t="s">
        <v>50</v>
      </c>
      <c r="J6" s="10" t="s">
        <v>51</v>
      </c>
      <c r="K6" s="44" t="s">
        <v>52</v>
      </c>
    </row>
    <row r="7" spans="1:11" ht="101.25">
      <c r="A7" s="46" t="s">
        <v>37</v>
      </c>
      <c r="B7" s="10" t="s">
        <v>53</v>
      </c>
      <c r="C7" s="11" t="s">
        <v>54</v>
      </c>
      <c r="D7" s="11" t="s">
        <v>30</v>
      </c>
      <c r="E7" s="10"/>
      <c r="F7" s="10" t="s">
        <v>55</v>
      </c>
      <c r="G7" s="11" t="s">
        <v>56</v>
      </c>
      <c r="H7" s="10" t="s">
        <v>57</v>
      </c>
      <c r="I7" s="10" t="s">
        <v>58</v>
      </c>
      <c r="J7" s="10" t="s">
        <v>59</v>
      </c>
      <c r="K7" s="44" t="s">
        <v>60</v>
      </c>
    </row>
    <row r="8" spans="1:11" ht="165">
      <c r="A8" s="46" t="s">
        <v>61</v>
      </c>
      <c r="B8" s="10" t="s">
        <v>62</v>
      </c>
      <c r="C8" s="11" t="s">
        <v>63</v>
      </c>
      <c r="D8" s="11" t="s">
        <v>46</v>
      </c>
      <c r="E8" s="10"/>
      <c r="F8" s="10" t="s">
        <v>64</v>
      </c>
      <c r="G8" s="11" t="s">
        <v>65</v>
      </c>
      <c r="H8" s="10" t="s">
        <v>66</v>
      </c>
      <c r="I8" s="10" t="s">
        <v>67</v>
      </c>
      <c r="J8" s="10" t="s">
        <v>68</v>
      </c>
      <c r="K8" s="44" t="s">
        <v>69</v>
      </c>
    </row>
    <row r="9" spans="1:11" ht="180.75">
      <c r="A9" s="46" t="s">
        <v>61</v>
      </c>
      <c r="B9" s="10" t="s">
        <v>62</v>
      </c>
      <c r="C9" s="11" t="s">
        <v>70</v>
      </c>
      <c r="D9" s="11" t="s">
        <v>14</v>
      </c>
      <c r="E9" s="10"/>
      <c r="F9" s="10" t="s">
        <v>71</v>
      </c>
      <c r="G9" s="11" t="s">
        <v>72</v>
      </c>
      <c r="H9" s="10" t="s">
        <v>73</v>
      </c>
      <c r="I9" s="10" t="s">
        <v>74</v>
      </c>
      <c r="J9" s="10" t="s">
        <v>75</v>
      </c>
      <c r="K9" s="44" t="s">
        <v>76</v>
      </c>
    </row>
    <row r="10" spans="1:11" ht="161.25">
      <c r="A10" s="46" t="s">
        <v>61</v>
      </c>
      <c r="B10" s="10" t="s">
        <v>53</v>
      </c>
      <c r="C10" s="11" t="s">
        <v>77</v>
      </c>
      <c r="D10" s="11" t="s">
        <v>14</v>
      </c>
      <c r="E10" s="10"/>
      <c r="F10" s="10" t="s">
        <v>78</v>
      </c>
      <c r="G10" s="11" t="s">
        <v>79</v>
      </c>
      <c r="H10" s="10" t="s">
        <v>80</v>
      </c>
      <c r="I10" s="10" t="s">
        <v>81</v>
      </c>
      <c r="J10" s="10" t="s">
        <v>82</v>
      </c>
      <c r="K10" s="44" t="s">
        <v>83</v>
      </c>
    </row>
    <row r="11" spans="1:11" ht="180.75">
      <c r="A11" s="46" t="s">
        <v>84</v>
      </c>
      <c r="B11" s="10" t="s">
        <v>53</v>
      </c>
      <c r="C11" s="11" t="s">
        <v>85</v>
      </c>
      <c r="D11" s="11" t="s">
        <v>86</v>
      </c>
      <c r="E11" s="10"/>
      <c r="F11" s="10" t="s">
        <v>87</v>
      </c>
      <c r="G11" s="11" t="s">
        <v>88</v>
      </c>
      <c r="H11" s="10" t="s">
        <v>89</v>
      </c>
      <c r="I11" s="10" t="s">
        <v>90</v>
      </c>
      <c r="J11" s="10" t="s">
        <v>91</v>
      </c>
      <c r="K11" s="44" t="s">
        <v>92</v>
      </c>
    </row>
    <row r="12" spans="1:11" ht="180.75">
      <c r="A12" s="46" t="s">
        <v>84</v>
      </c>
      <c r="B12" s="10" t="s">
        <v>53</v>
      </c>
      <c r="C12" s="11" t="s">
        <v>93</v>
      </c>
      <c r="D12" s="11" t="s">
        <v>46</v>
      </c>
      <c r="E12" s="10"/>
      <c r="F12" s="10" t="s">
        <v>94</v>
      </c>
      <c r="G12" s="11" t="s">
        <v>95</v>
      </c>
      <c r="H12" s="10" t="s">
        <v>96</v>
      </c>
      <c r="I12" s="10" t="s">
        <v>97</v>
      </c>
      <c r="J12" s="10" t="s">
        <v>98</v>
      </c>
      <c r="K12" s="44" t="s">
        <v>99</v>
      </c>
    </row>
    <row r="13" spans="1:11" ht="101.25">
      <c r="A13" s="46" t="s">
        <v>100</v>
      </c>
      <c r="B13" s="10" t="s">
        <v>12</v>
      </c>
      <c r="C13" s="10" t="s">
        <v>101</v>
      </c>
      <c r="D13" s="11" t="s">
        <v>14</v>
      </c>
      <c r="E13" s="10"/>
      <c r="F13" s="10" t="s">
        <v>102</v>
      </c>
      <c r="G13" s="10" t="s">
        <v>103</v>
      </c>
      <c r="H13" s="10" t="s">
        <v>104</v>
      </c>
      <c r="I13" s="10" t="s">
        <v>105</v>
      </c>
      <c r="J13" s="10" t="s">
        <v>106</v>
      </c>
      <c r="K13" s="44" t="s">
        <v>107</v>
      </c>
    </row>
    <row r="14" spans="1:11" ht="115.5">
      <c r="A14" s="46" t="s">
        <v>100</v>
      </c>
      <c r="B14" s="10" t="s">
        <v>12</v>
      </c>
      <c r="C14" s="10" t="s">
        <v>108</v>
      </c>
      <c r="D14" s="11" t="s">
        <v>14</v>
      </c>
      <c r="E14" s="10"/>
      <c r="F14" s="10" t="s">
        <v>109</v>
      </c>
      <c r="G14" s="10" t="s">
        <v>110</v>
      </c>
      <c r="H14" s="10" t="s">
        <v>111</v>
      </c>
      <c r="I14" s="10" t="s">
        <v>112</v>
      </c>
      <c r="J14" s="10" t="s">
        <v>113</v>
      </c>
      <c r="K14" s="44" t="s">
        <v>114</v>
      </c>
    </row>
    <row r="15" spans="1:11" ht="101.25">
      <c r="A15" s="46" t="s">
        <v>115</v>
      </c>
      <c r="B15" s="10" t="s">
        <v>12</v>
      </c>
      <c r="C15" s="10" t="s">
        <v>116</v>
      </c>
      <c r="D15" s="11" t="s">
        <v>14</v>
      </c>
      <c r="E15" s="10"/>
      <c r="F15" s="10" t="s">
        <v>117</v>
      </c>
      <c r="G15" s="10" t="s">
        <v>118</v>
      </c>
      <c r="H15" s="10" t="s">
        <v>119</v>
      </c>
      <c r="I15" s="10" t="s">
        <v>120</v>
      </c>
      <c r="J15" s="10" t="s">
        <v>121</v>
      </c>
      <c r="K15" s="44" t="s">
        <v>122</v>
      </c>
    </row>
    <row r="16" spans="1:11" ht="101.25">
      <c r="A16" s="46" t="s">
        <v>115</v>
      </c>
      <c r="B16" s="10" t="s">
        <v>12</v>
      </c>
      <c r="C16" s="10" t="s">
        <v>123</v>
      </c>
      <c r="D16" s="11" t="s">
        <v>14</v>
      </c>
      <c r="E16" s="10"/>
      <c r="F16" s="10" t="s">
        <v>124</v>
      </c>
      <c r="G16" s="10" t="s">
        <v>125</v>
      </c>
      <c r="H16" s="10" t="s">
        <v>126</v>
      </c>
      <c r="I16" s="10" t="s">
        <v>127</v>
      </c>
      <c r="J16" s="10" t="s">
        <v>128</v>
      </c>
      <c r="K16" s="44" t="s">
        <v>129</v>
      </c>
    </row>
    <row r="17" spans="1:11" ht="130.5">
      <c r="A17" s="46" t="s">
        <v>130</v>
      </c>
      <c r="B17" s="10" t="s">
        <v>62</v>
      </c>
      <c r="C17" s="10" t="s">
        <v>131</v>
      </c>
      <c r="D17" s="11" t="s">
        <v>22</v>
      </c>
      <c r="E17" s="10"/>
      <c r="F17" s="10" t="s">
        <v>132</v>
      </c>
      <c r="G17" s="10" t="s">
        <v>133</v>
      </c>
      <c r="H17" s="10" t="s">
        <v>134</v>
      </c>
      <c r="I17" s="10" t="s">
        <v>135</v>
      </c>
      <c r="J17" s="10" t="s">
        <v>136</v>
      </c>
      <c r="K17" s="44" t="s">
        <v>137</v>
      </c>
    </row>
    <row r="18" spans="1:11" ht="101.25">
      <c r="A18" s="46" t="s">
        <v>138</v>
      </c>
      <c r="B18" s="10" t="s">
        <v>139</v>
      </c>
      <c r="C18" s="10" t="s">
        <v>140</v>
      </c>
      <c r="D18" s="11" t="s">
        <v>14</v>
      </c>
      <c r="E18" s="10"/>
      <c r="F18" s="10" t="s">
        <v>141</v>
      </c>
      <c r="G18" s="10" t="s">
        <v>142</v>
      </c>
      <c r="H18" s="10" t="s">
        <v>143</v>
      </c>
      <c r="I18" s="10" t="s">
        <v>144</v>
      </c>
      <c r="J18" s="10" t="s">
        <v>145</v>
      </c>
      <c r="K18" s="44" t="s">
        <v>146</v>
      </c>
    </row>
    <row r="19" spans="1:11" ht="115.5">
      <c r="A19" s="47" t="s">
        <v>147</v>
      </c>
      <c r="B19" s="10" t="s">
        <v>62</v>
      </c>
      <c r="C19" s="10" t="s">
        <v>148</v>
      </c>
      <c r="D19" s="11" t="s">
        <v>30</v>
      </c>
      <c r="E19" s="10"/>
      <c r="F19" s="10" t="s">
        <v>149</v>
      </c>
      <c r="G19" s="10" t="s">
        <v>150</v>
      </c>
      <c r="H19" s="10" t="s">
        <v>151</v>
      </c>
      <c r="I19" s="10" t="s">
        <v>152</v>
      </c>
      <c r="J19" s="10" t="s">
        <v>153</v>
      </c>
      <c r="K19" s="44" t="s">
        <v>154</v>
      </c>
    </row>
  </sheetData>
  <dataValidations count="2">
    <dataValidation type="list" allowBlank="1" showInputMessage="1" showErrorMessage="1" sqref="D2:E19" xr:uid="{7AF23F04-917E-47B1-AAB1-E8978F9829DD}">
      <formula1>"Not Applicable, Not Started [0],Partially Implemented [1],Consistently Implemented [2],Embedded &amp; Measured [3]"</formula1>
    </dataValidation>
    <dataValidation type="list" allowBlank="1" showInputMessage="1" showErrorMessage="1" sqref="E2:F19" xr:uid="{2E799268-41AC-42FB-AC2B-2035ECB5FE12}">
      <formula1>"Not Started [0],Partially Implemented [1],Consistently Implemented [2],Embedded &amp; Measured [3]"</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70584-CE12-4A43-A911-DA2C2522869E}">
  <dimension ref="A1:K48"/>
  <sheetViews>
    <sheetView workbookViewId="0">
      <pane ySplit="3" topLeftCell="A25" activePane="bottomLeft" state="frozen"/>
      <selection pane="bottomLeft" activeCell="E21" sqref="E21"/>
    </sheetView>
  </sheetViews>
  <sheetFormatPr defaultRowHeight="15"/>
  <cols>
    <col min="1" max="1" width="56" customWidth="1"/>
    <col min="2" max="2" width="22.28515625" customWidth="1"/>
    <col min="3" max="3" width="16.7109375" customWidth="1"/>
    <col min="4" max="4" width="28.42578125" customWidth="1"/>
    <col min="5" max="5" width="26.7109375" customWidth="1"/>
    <col min="6" max="6" width="19" customWidth="1"/>
    <col min="8" max="11" width="9.140625" hidden="1" customWidth="1"/>
  </cols>
  <sheetData>
    <row r="1" spans="1:8" ht="30" customHeight="1">
      <c r="A1" s="14" t="s">
        <v>155</v>
      </c>
      <c r="B1" s="14"/>
    </row>
    <row r="2" spans="1:8">
      <c r="A2" s="15" t="s">
        <v>156</v>
      </c>
      <c r="B2" s="15"/>
    </row>
    <row r="4" spans="1:8" ht="24.75" customHeight="1">
      <c r="A4" s="50" t="s">
        <v>157</v>
      </c>
      <c r="B4" s="50"/>
      <c r="C4" s="52"/>
      <c r="D4" s="52"/>
    </row>
    <row r="5" spans="1:8">
      <c r="A5" s="17" t="s">
        <v>158</v>
      </c>
      <c r="B5" s="17" t="str" cm="1">
        <f t="array" ref="B5">IFERROR(SUMPRODUCT((ISERROR(FIND("Not Applicable",ApplicationSecurityv1!D2:D19)))*(ISNUMBER(FIND("[",ApplicationSecurityv1!D2:D19)))*(VALUE(MID(ApplicationSecurityv1!D2:D19,FIND("[",ApplicationSecurityv1!D2:D19&amp;"[")+1,1))))/SUMPRODUCT((ISERROR(FIND("Not Applicable",ApplicationSecurityv1!D2:D19)))*(ISNUMBER(FIND("[",ApplicationSecurityv1!D2:D19)))*1),"-")</f>
        <v>-</v>
      </c>
      <c r="C5" s="18"/>
      <c r="D5" s="18"/>
    </row>
    <row r="6" spans="1:8">
      <c r="A6" s="17" t="s">
        <v>159</v>
      </c>
      <c r="B6" s="17">
        <f>IFERROR(B5/3*100,0)</f>
        <v>0</v>
      </c>
      <c r="C6" s="18" cm="1">
        <f t="array" ref="C6">SUMPRODUCT((ISERROR(FIND("Not Applicable",ApplicationSecurityv1!D2:D19)))*(ISNUMBER(FIND("[",ApplicationSecurityv1!D2:D19)))*1)</f>
        <v>16</v>
      </c>
      <c r="D6" s="18">
        <v>18</v>
      </c>
    </row>
    <row r="7" spans="1:8">
      <c r="A7" s="17" t="s">
        <v>160</v>
      </c>
      <c r="B7" s="17" t="str">
        <f>IF(ISERROR(B5),"No Data",IF(B6&lt;25,"Critically Concerning",IF(B6&lt;50,"Needs Improvement",IF(B6&lt;75,"Progressing",IF(B6&lt;90,"Good","Excellent")))))</f>
        <v>Critically Concerning</v>
      </c>
      <c r="C7" s="18" t="s">
        <v>161</v>
      </c>
      <c r="D7" s="18">
        <f>D6-C6</f>
        <v>2</v>
      </c>
    </row>
    <row r="9" spans="1:8" ht="24.75" customHeight="1">
      <c r="A9" s="50" t="s">
        <v>162</v>
      </c>
      <c r="B9" s="50"/>
      <c r="C9" s="50"/>
      <c r="D9" s="50"/>
      <c r="E9" s="50"/>
      <c r="F9" s="50"/>
    </row>
    <row r="10" spans="1:8">
      <c r="A10" s="20" t="s">
        <v>163</v>
      </c>
      <c r="B10" s="20" t="s">
        <v>164</v>
      </c>
      <c r="C10" s="20" t="s">
        <v>165</v>
      </c>
      <c r="D10" s="20" t="s">
        <v>160</v>
      </c>
      <c r="E10" s="20" t="s">
        <v>166</v>
      </c>
      <c r="H10" t="s">
        <v>165</v>
      </c>
    </row>
    <row r="11" spans="1:8">
      <c r="A11" s="25" t="s">
        <v>11</v>
      </c>
      <c r="B11" s="27" t="str" cm="1">
        <f t="array" ref="B11">IFERROR(SUMPRODUCT((ISERROR(FIND("Not Applicable",ApplicationSecurityv1!D2:D4)))*(ISNUMBER(FIND("[",ApplicationSecurityv1!D2:D4)))*(VALUE(MID(ApplicationSecurityv1!D2:D4,FIND("[",ApplicationSecurityv1!D2:D4&amp;"[")+1,1))))/SUMPRODUCT((ISERROR(FIND("Not Applicable",ApplicationSecurityv1!D2:D4)))*(ISNUMBER(FIND("[",ApplicationSecurityv1!D2:D4)))*1),"-")</f>
        <v>-</v>
      </c>
      <c r="C11" s="28">
        <f>IFERROR(B11/3*100,0)</f>
        <v>0</v>
      </c>
      <c r="D11" s="26" t="str">
        <f>IF(ISERROR(B11),"No Data",IF(C11&lt;25,"Critically Concerning",IF(C11&lt;50,"Needs Improvement",IF(C11&lt;75,"Progressing",IF(C11&lt;90,"Good","Excellent")))))</f>
        <v>Critically Concerning</v>
      </c>
      <c r="E11" s="29" t="str">
        <f>IFERROR(REPT("█",ROUND(C11/10,0))&amp;REPT("░",10-ROUND(C11/10,0)),REPT("░",10))</f>
        <v>░░░░░░░░░░</v>
      </c>
      <c r="H11" s="16">
        <f>C11</f>
        <v>0</v>
      </c>
    </row>
    <row r="12" spans="1:8">
      <c r="A12" t="s">
        <v>37</v>
      </c>
      <c r="B12" s="23" cm="1">
        <f t="array" ref="B12">IFERROR(SUMPRODUCT((ISERROR(FIND("Not Applicable",ApplicationSecurityv1!D5:D7)))*(ISNUMBER(FIND("[",ApplicationSecurityv1!D5:D7)))*(VALUE(MID(ApplicationSecurityv1!D5:D7,FIND("[",ApplicationSecurityv1!D5:D7&amp;"[")+1,1))))/SUMPRODUCT((ISERROR(FIND("Not Applicable",ApplicationSecurityv1!D5:D7)))*(ISNUMBER(FIND("[",ApplicationSecurityv1!D5:D7)))*1),"-")</f>
        <v>1.3333333333333333</v>
      </c>
      <c r="C12" s="24">
        <f>IFERROR(B12/3*100,0)</f>
        <v>44.444444444444443</v>
      </c>
      <c r="D12" s="22" t="str">
        <f>IF(ISERROR(B12),"No Data",IF(C12&lt;25,"Critically Concerning",IF(C12&lt;50,"Needs Improvement",IF(C12&lt;75,"Progressing",IF(C12&lt;90,"Good","Excellent")))))</f>
        <v>Needs Improvement</v>
      </c>
      <c r="E12" s="21" t="str">
        <f>IFERROR(REPT("█",ROUND(C12/10,0))&amp;REPT("░",10-ROUND(C12/10,0)),REPT("░",10))</f>
        <v>████░░░░░░</v>
      </c>
      <c r="H12" s="16">
        <f>C12</f>
        <v>44.444444444444443</v>
      </c>
    </row>
    <row r="13" spans="1:8">
      <c r="A13" s="25" t="s">
        <v>61</v>
      </c>
      <c r="B13" s="27" cm="1">
        <f t="array" ref="B13">IFERROR(SUMPRODUCT((ISERROR(FIND("Not Applicable",ApplicationSecurityv1!D8:D10)))*(ISNUMBER(FIND("[",ApplicationSecurityv1!D8:D10)))*(VALUE(MID(ApplicationSecurityv1!D8:D10,FIND("[",ApplicationSecurityv1!D8:D10&amp;"[")+1,1))))/SUMPRODUCT((ISERROR(FIND("Not Applicable",ApplicationSecurityv1!D8:D10)))*(ISNUMBER(FIND("[",ApplicationSecurityv1!D8:D10)))*1),"-")</f>
        <v>2</v>
      </c>
      <c r="C13" s="28">
        <f>IFERROR(B13/3*100,0)</f>
        <v>66.666666666666657</v>
      </c>
      <c r="D13" s="26" t="str">
        <f>IF(ISERROR(B13),"No Data",IF(C13&lt;25,"Critically Concerning",IF(C13&lt;50,"Needs Improvement",IF(C13&lt;75,"Progressing",IF(C13&lt;90,"Good","Excellent")))))</f>
        <v>Progressing</v>
      </c>
      <c r="E13" s="29" t="str">
        <f>IFERROR(REPT("█",ROUND(C13/10,0))&amp;REPT("░",10-ROUND(C13/10,0)),REPT("░",10))</f>
        <v>███████░░░</v>
      </c>
      <c r="H13" s="16">
        <f>C13</f>
        <v>66.666666666666657</v>
      </c>
    </row>
    <row r="14" spans="1:8">
      <c r="A14" t="s">
        <v>84</v>
      </c>
      <c r="B14" s="23" cm="1">
        <f t="array" ref="B14">IFERROR(SUMPRODUCT((ISERROR(FIND("Not Applicable",ApplicationSecurityv1!D11:D12)))*(ISNUMBER(FIND("[",ApplicationSecurityv1!D11:D12)))*(VALUE(MID(ApplicationSecurityv1!D11:D12,FIND("[",ApplicationSecurityv1!D11:D12&amp;"[")+1,1))))/SUMPRODUCT((ISERROR(FIND("Not Applicable",ApplicationSecurityv1!D11:D12)))*(ISNUMBER(FIND("[",ApplicationSecurityv1!D11:D12)))*1),"-")</f>
        <v>1</v>
      </c>
      <c r="C14" s="24">
        <f>IFERROR(B14/3*100,0)</f>
        <v>33.333333333333329</v>
      </c>
      <c r="D14" s="22" t="str">
        <f>IF(ISERROR(B14),"No Data",IF(C14&lt;25,"Critically Concerning",IF(C14&lt;50,"Needs Improvement",IF(C14&lt;75,"Progressing",IF(C14&lt;90,"Good","Excellent")))))</f>
        <v>Needs Improvement</v>
      </c>
      <c r="E14" s="21" t="str">
        <f>IFERROR(REPT("█",ROUND(C14/10,0))&amp;REPT("░",10-ROUND(C14/10,0)),REPT("░",10))</f>
        <v>███░░░░░░░</v>
      </c>
      <c r="H14" s="16">
        <f>C14</f>
        <v>33.333333333333329</v>
      </c>
    </row>
    <row r="15" spans="1:8">
      <c r="A15" s="25" t="s">
        <v>100</v>
      </c>
      <c r="B15" s="27" cm="1">
        <f t="array" ref="B15">IFERROR(SUMPRODUCT((ISERROR(FIND("Not Applicable",ApplicationSecurityv1!D13:D14)))*(ISNUMBER(FIND("[",ApplicationSecurityv1!D13:D14)))*(VALUE(MID(ApplicationSecurityv1!D13:D14,FIND("[",ApplicationSecurityv1!D13:D14&amp;"[")+1,1))))/SUMPRODUCT((ISERROR(FIND("Not Applicable",ApplicationSecurityv1!D13:D14)))*(ISNUMBER(FIND("[",ApplicationSecurityv1!D13:D14)))*1),"-")</f>
        <v>3</v>
      </c>
      <c r="C15" s="28">
        <f>IFERROR(B15/3*100,0)</f>
        <v>100</v>
      </c>
      <c r="D15" s="26" t="str">
        <f>IF(ISERROR(B15),"No Data",IF(C15&lt;25,"Critically Concerning",IF(C15&lt;50,"Needs Improvement",IF(C15&lt;75,"Progressing",IF(C15&lt;90,"Good","Excellent")))))</f>
        <v>Excellent</v>
      </c>
      <c r="E15" s="29" t="str">
        <f>IFERROR(REPT("█",ROUND(C15/10,0))&amp;REPT("░",10-ROUND(C15/10,0)),REPT("░",10))</f>
        <v>██████████</v>
      </c>
      <c r="H15" s="16">
        <f>C15</f>
        <v>100</v>
      </c>
    </row>
    <row r="16" spans="1:8">
      <c r="A16" t="s">
        <v>115</v>
      </c>
      <c r="B16" s="23" cm="1">
        <f t="array" ref="B16">IFERROR(SUMPRODUCT((ISERROR(FIND("Not Applicable",ApplicationSecurityv1!D15:D16)))*(ISNUMBER(FIND("[",ApplicationSecurityv1!D15:D16)))*(VALUE(MID(ApplicationSecurityv1!D15:D16,FIND("[",ApplicationSecurityv1!D15:D16&amp;"[")+1,1))))/SUMPRODUCT((ISERROR(FIND("Not Applicable",ApplicationSecurityv1!D15:D16)))*(ISNUMBER(FIND("[",ApplicationSecurityv1!D15:D16)))*1),"-")</f>
        <v>3</v>
      </c>
      <c r="C16" s="24">
        <f>IFERROR(B16/3*100,0)</f>
        <v>100</v>
      </c>
      <c r="D16" s="22" t="str">
        <f>IF(ISERROR(B16),"No Data",IF(C16&lt;25,"Critically Concerning",IF(C16&lt;50,"Needs Improvement",IF(C16&lt;75,"Progressing",IF(C16&lt;90,"Good","Excellent")))))</f>
        <v>Excellent</v>
      </c>
      <c r="E16" s="21" t="str">
        <f>IFERROR(REPT("█",ROUND(C16/10,0))&amp;REPT("░",10-ROUND(C16/10,0)),REPT("░",10))</f>
        <v>██████████</v>
      </c>
      <c r="H16" s="16">
        <f>C16</f>
        <v>100</v>
      </c>
    </row>
    <row r="17" spans="1:11">
      <c r="A17" s="25" t="s">
        <v>130</v>
      </c>
      <c r="B17" s="27" t="str">
        <f>IFERROR(IF(ISNUMBER(FIND("Not Applicable",ApplicationSecurityv1!D17)),"-",VALUE(MID(ApplicationSecurityv1!D17,FIND("[",ApplicationSecurityv1!D17)+1,1))),"-")</f>
        <v>-</v>
      </c>
      <c r="C17" s="28">
        <f>IFERROR(B17/3*100,0)</f>
        <v>0</v>
      </c>
      <c r="D17" s="26" t="str">
        <f>IF(ISERROR(B17),"No Data",IF(C17&lt;25,"Critically Concerning",IF(C17&lt;50,"Needs Improvement",IF(C17&lt;75,"Progressing",IF(C17&lt;90,"Good","Excellent")))))</f>
        <v>Critically Concerning</v>
      </c>
      <c r="E17" s="29" t="str">
        <f>IFERROR(REPT("█",ROUND(C17/10,0))&amp;REPT("░",10-ROUND(C17/10,0)),REPT("░",10))</f>
        <v>░░░░░░░░░░</v>
      </c>
      <c r="H17" s="16">
        <f>C17</f>
        <v>0</v>
      </c>
    </row>
    <row r="18" spans="1:11">
      <c r="A18" t="s">
        <v>138</v>
      </c>
      <c r="B18" s="23">
        <f>IFERROR(IF(ISNUMBER(FIND("Not Applicable",ApplicationSecurityv1!D18)),"-",VALUE(MID(ApplicationSecurityv1!D18,FIND("[",ApplicationSecurityv1!D18)+1,1))),"-")</f>
        <v>3</v>
      </c>
      <c r="C18" s="24">
        <f>IFERROR(B18/3*100,0)</f>
        <v>100</v>
      </c>
      <c r="D18" s="22" t="str">
        <f>IF(ISERROR(B18),"No Data",IF(C18&lt;25,"Critically Concerning",IF(C18&lt;50,"Needs Improvement",IF(C18&lt;75,"Progressing",IF(C18&lt;90,"Good","Excellent")))))</f>
        <v>Excellent</v>
      </c>
      <c r="E18" s="21" t="str">
        <f>IFERROR(REPT("█",ROUND(C18/10,0))&amp;REPT("░",10-ROUND(C18/10,0)),REPT("░",10))</f>
        <v>██████████</v>
      </c>
      <c r="H18" s="16">
        <f>C18</f>
        <v>100</v>
      </c>
    </row>
    <row r="19" spans="1:11">
      <c r="A19" t="s">
        <v>147</v>
      </c>
      <c r="B19" s="23">
        <f>IFERROR(IF(ISNUMBER(FIND("Not Applicable",ApplicationSecurityv1!D19)),"-",VALUE(MID(ApplicationSecurityv1!D19,FIND("[",ApplicationSecurityv1!D19)+1,1))),"-")</f>
        <v>1</v>
      </c>
      <c r="C19" s="24">
        <f>IFERROR(B19/3*100,0)</f>
        <v>33.333333333333329</v>
      </c>
      <c r="D19" s="22" t="str">
        <f>IF(ISERROR(B19),"No Data",IF(C19&lt;25,"Critically Concerning",IF(C19&lt;50,"Needs Improvement",IF(C19&lt;75,"Progressing",IF(C19&lt;90,"Good","Excellent")))))</f>
        <v>Needs Improvement</v>
      </c>
      <c r="E19" s="21" t="str">
        <f>IFERROR(REPT("█",ROUND(C19/10,0))&amp;REPT("░",10-ROUND(C19/10,0)),REPT("░",10))</f>
        <v>███░░░░░░░</v>
      </c>
      <c r="H19" s="16">
        <f>C19</f>
        <v>33.333333333333329</v>
      </c>
    </row>
    <row r="20" spans="1:11">
      <c r="A20" s="25"/>
      <c r="B20" s="25"/>
      <c r="C20" s="27"/>
      <c r="D20" s="28"/>
      <c r="E20" s="26"/>
      <c r="F20" s="29"/>
      <c r="I20" s="16"/>
    </row>
    <row r="21" spans="1:11">
      <c r="C21" s="23"/>
      <c r="D21" s="24"/>
      <c r="E21" s="22"/>
      <c r="F21" s="21"/>
      <c r="I21" s="16"/>
    </row>
    <row r="23" spans="1:11" ht="24.75" customHeight="1">
      <c r="A23" s="50" t="s">
        <v>167</v>
      </c>
      <c r="B23" s="50"/>
      <c r="C23" s="52"/>
      <c r="D23" s="52"/>
      <c r="E23" s="52"/>
      <c r="F23" s="52"/>
    </row>
    <row r="24" spans="1:11">
      <c r="A24" s="19" t="s">
        <v>160</v>
      </c>
      <c r="B24" s="19" t="s">
        <v>168</v>
      </c>
      <c r="C24" s="19" t="s">
        <v>169</v>
      </c>
      <c r="D24" s="19" t="s">
        <v>170</v>
      </c>
    </row>
    <row r="25" spans="1:11" s="1" customFormat="1" ht="29.25">
      <c r="A25" s="38" t="s">
        <v>171</v>
      </c>
      <c r="B25" s="38" t="s">
        <v>172</v>
      </c>
      <c r="C25" s="1" t="s">
        <v>173</v>
      </c>
      <c r="D25" s="1" t="s">
        <v>174</v>
      </c>
    </row>
    <row r="26" spans="1:11" s="1" customFormat="1" ht="29.25">
      <c r="A26" s="39" t="s">
        <v>175</v>
      </c>
      <c r="B26" s="39" t="s">
        <v>176</v>
      </c>
      <c r="C26" s="1" t="s">
        <v>177</v>
      </c>
      <c r="D26" s="1" t="s">
        <v>178</v>
      </c>
    </row>
    <row r="27" spans="1:11" s="1" customFormat="1" ht="29.25">
      <c r="A27" s="40" t="s">
        <v>179</v>
      </c>
      <c r="B27" s="40" t="s">
        <v>180</v>
      </c>
      <c r="C27" s="1" t="s">
        <v>181</v>
      </c>
      <c r="D27" s="1" t="s">
        <v>182</v>
      </c>
    </row>
    <row r="28" spans="1:11" s="1" customFormat="1" ht="29.25">
      <c r="A28" s="41" t="s">
        <v>183</v>
      </c>
      <c r="B28" s="41" t="s">
        <v>184</v>
      </c>
      <c r="C28" s="1" t="s">
        <v>185</v>
      </c>
      <c r="D28" s="1" t="s">
        <v>186</v>
      </c>
    </row>
    <row r="29" spans="1:11" s="1" customFormat="1" ht="29.25">
      <c r="A29" s="42" t="s">
        <v>187</v>
      </c>
      <c r="B29" s="42" t="s">
        <v>188</v>
      </c>
      <c r="C29" s="1" t="s">
        <v>189</v>
      </c>
      <c r="D29" s="1" t="s">
        <v>190</v>
      </c>
    </row>
    <row r="31" spans="1:11" ht="24.75" customHeight="1">
      <c r="A31" s="50" t="s">
        <v>191</v>
      </c>
      <c r="B31" s="50"/>
      <c r="C31" s="52"/>
      <c r="D31" s="52"/>
      <c r="J31" t="s">
        <v>160</v>
      </c>
      <c r="K31" t="s">
        <v>192</v>
      </c>
    </row>
    <row r="32" spans="1:11">
      <c r="A32" s="19" t="s">
        <v>193</v>
      </c>
      <c r="B32" s="19" t="s">
        <v>194</v>
      </c>
      <c r="C32" s="19" t="s">
        <v>192</v>
      </c>
      <c r="D32" s="19" t="s">
        <v>195</v>
      </c>
      <c r="J32" t="s">
        <v>171</v>
      </c>
      <c r="K32">
        <f>C33</f>
        <v>2</v>
      </c>
    </row>
    <row r="33" spans="1:11">
      <c r="A33" s="30" t="s">
        <v>171</v>
      </c>
      <c r="B33" s="30" t="s">
        <v>172</v>
      </c>
      <c r="C33" s="22">
        <f>COUNTIF(D11:D19,"Critically Concerning")</f>
        <v>2</v>
      </c>
      <c r="D33" s="36">
        <f>C33/9*100</f>
        <v>22.222222222222221</v>
      </c>
      <c r="J33" t="s">
        <v>175</v>
      </c>
      <c r="K33">
        <f>C34</f>
        <v>3</v>
      </c>
    </row>
    <row r="34" spans="1:11">
      <c r="A34" s="31" t="s">
        <v>175</v>
      </c>
      <c r="B34" s="31" t="s">
        <v>196</v>
      </c>
      <c r="C34" s="22">
        <f>COUNTIF(D11:D19,"Needs Improvement")</f>
        <v>3</v>
      </c>
      <c r="D34" s="36">
        <f>C34/9*100</f>
        <v>33.333333333333329</v>
      </c>
      <c r="J34" t="s">
        <v>179</v>
      </c>
      <c r="K34">
        <f>C35</f>
        <v>1</v>
      </c>
    </row>
    <row r="35" spans="1:11">
      <c r="A35" s="32" t="s">
        <v>179</v>
      </c>
      <c r="B35" s="32" t="s">
        <v>197</v>
      </c>
      <c r="C35" s="22">
        <f>COUNTIF(D11:D19,"Progressing")</f>
        <v>1</v>
      </c>
      <c r="D35" s="36">
        <f>C35/9*100</f>
        <v>11.111111111111111</v>
      </c>
      <c r="J35" t="s">
        <v>183</v>
      </c>
      <c r="K35">
        <f>C36</f>
        <v>0</v>
      </c>
    </row>
    <row r="36" spans="1:11">
      <c r="A36" s="33" t="s">
        <v>183</v>
      </c>
      <c r="B36" s="33" t="s">
        <v>198</v>
      </c>
      <c r="C36" s="22">
        <f>COUNTIF(D11:D19,"Good")</f>
        <v>0</v>
      </c>
      <c r="D36" s="36">
        <f>C36/9*100</f>
        <v>0</v>
      </c>
      <c r="J36" t="s">
        <v>187</v>
      </c>
      <c r="K36">
        <f>C37</f>
        <v>3</v>
      </c>
    </row>
    <row r="37" spans="1:11">
      <c r="A37" s="34" t="s">
        <v>187</v>
      </c>
      <c r="B37" s="34" t="s">
        <v>188</v>
      </c>
      <c r="C37" s="22">
        <f>COUNTIF(D11:D19,"Excellent")</f>
        <v>3</v>
      </c>
      <c r="D37" s="36">
        <f>C37/9*100</f>
        <v>33.333333333333329</v>
      </c>
    </row>
    <row r="38" spans="1:11">
      <c r="A38" s="35" t="s">
        <v>199</v>
      </c>
      <c r="B38" s="35" t="s">
        <v>200</v>
      </c>
      <c r="C38" s="22">
        <f>COUNTIF(D11:D19,"No Data")</f>
        <v>0</v>
      </c>
      <c r="D38" s="36">
        <f>C38/9*100</f>
        <v>0</v>
      </c>
    </row>
    <row r="40" spans="1:11" ht="24.75" customHeight="1">
      <c r="A40" s="50" t="s">
        <v>201</v>
      </c>
      <c r="B40" s="50"/>
      <c r="C40" s="52"/>
      <c r="D40" s="52"/>
    </row>
    <row r="41" spans="1:11" s="1" customFormat="1">
      <c r="A41" s="43">
        <v>1</v>
      </c>
      <c r="B41" s="43" t="s">
        <v>202</v>
      </c>
      <c r="C41" s="49"/>
      <c r="D41" s="49"/>
    </row>
    <row r="42" spans="1:11" s="1" customFormat="1">
      <c r="A42" s="43">
        <v>2</v>
      </c>
      <c r="B42" s="43" t="s">
        <v>203</v>
      </c>
      <c r="C42" s="49"/>
      <c r="D42" s="49"/>
    </row>
    <row r="43" spans="1:11" s="1" customFormat="1" ht="29.25">
      <c r="A43" s="43">
        <v>3</v>
      </c>
      <c r="B43" s="43" t="s">
        <v>204</v>
      </c>
      <c r="C43" s="49"/>
      <c r="D43" s="49"/>
    </row>
    <row r="44" spans="1:11" s="1" customFormat="1" ht="29.25">
      <c r="A44" s="43">
        <v>4</v>
      </c>
      <c r="B44" s="43" t="s">
        <v>205</v>
      </c>
      <c r="C44" s="49"/>
      <c r="D44" s="49"/>
    </row>
    <row r="45" spans="1:11" s="1" customFormat="1">
      <c r="A45" s="43">
        <v>5</v>
      </c>
      <c r="B45" s="43" t="s">
        <v>206</v>
      </c>
      <c r="C45" s="49"/>
      <c r="D45" s="49"/>
    </row>
    <row r="46" spans="1:11" s="1" customFormat="1" ht="29.25">
      <c r="A46" s="43">
        <v>6</v>
      </c>
      <c r="B46" s="43" t="s">
        <v>207</v>
      </c>
      <c r="C46" s="49"/>
      <c r="D46" s="49"/>
    </row>
    <row r="47" spans="1:11" s="1" customFormat="1"/>
    <row r="48" spans="1:11">
      <c r="A48" s="37"/>
      <c r="B48" s="37"/>
    </row>
  </sheetData>
  <mergeCells count="11">
    <mergeCell ref="C41:D41"/>
    <mergeCell ref="A4:D4"/>
    <mergeCell ref="A9:F9"/>
    <mergeCell ref="A23:F23"/>
    <mergeCell ref="A31:D31"/>
    <mergeCell ref="A40:D40"/>
    <mergeCell ref="C42:D42"/>
    <mergeCell ref="C43:D43"/>
    <mergeCell ref="C44:D44"/>
    <mergeCell ref="C45:D45"/>
    <mergeCell ref="C46:D46"/>
  </mergeCells>
  <conditionalFormatting sqref="E20:E21 D11:D19">
    <cfRule type="containsText" dxfId="5" priority="1" operator="containsText" text="Critically Concerning">
      <formula>NOT(ISERROR(SEARCH("Critically Concerning",D11)))</formula>
    </cfRule>
  </conditionalFormatting>
  <conditionalFormatting sqref="E20:E21 D11:D19">
    <cfRule type="containsText" dxfId="4" priority="2" operator="containsText" text="Needs Improvement">
      <formula>NOT(ISERROR(SEARCH("Needs Improvement",D11)))</formula>
    </cfRule>
  </conditionalFormatting>
  <conditionalFormatting sqref="E20:E21 D11:D19">
    <cfRule type="containsText" dxfId="3" priority="3" operator="containsText" text="Progressing">
      <formula>NOT(ISERROR(SEARCH("Progressing",D11)))</formula>
    </cfRule>
  </conditionalFormatting>
  <conditionalFormatting sqref="E20:E21 D11:D19">
    <cfRule type="containsText" dxfId="2" priority="4" operator="containsText" text="Good">
      <formula>NOT(ISERROR(SEARCH("Good",D11)))</formula>
    </cfRule>
  </conditionalFormatting>
  <conditionalFormatting sqref="E20:E21 D11:D19">
    <cfRule type="containsText" dxfId="1" priority="5" operator="containsText" text="Excellent">
      <formula>NOT(ISERROR(SEARCH("Excellent",D11)))</formula>
    </cfRule>
  </conditionalFormatting>
  <conditionalFormatting sqref="E20:E21 D11:D19">
    <cfRule type="containsText" dxfId="0" priority="6" operator="containsText" text="No Data">
      <formula>NOT(ISERROR(SEARCH("No Data",D11)))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0"/>
  <sheetViews>
    <sheetView zoomScale="161" workbookViewId="0">
      <selection activeCell="B21" sqref="B21"/>
    </sheetView>
  </sheetViews>
  <sheetFormatPr defaultColWidth="10.85546875" defaultRowHeight="15"/>
  <cols>
    <col min="1" max="1" width="52.42578125" style="7" customWidth="1"/>
    <col min="2" max="2" width="51.7109375" style="7" customWidth="1"/>
    <col min="3" max="3" width="15.28515625" style="3" bestFit="1" customWidth="1"/>
    <col min="4" max="5" width="10.85546875" style="3" customWidth="1"/>
    <col min="6" max="6" width="10.85546875" style="8" customWidth="1"/>
    <col min="7" max="7" width="10.85546875" style="3" customWidth="1"/>
    <col min="8" max="16384" width="10.85546875" style="3"/>
  </cols>
  <sheetData>
    <row r="1" spans="1:6" ht="48" customHeight="1">
      <c r="A1" s="2" t="s">
        <v>2</v>
      </c>
      <c r="B1" s="2" t="s">
        <v>208</v>
      </c>
      <c r="C1" s="2" t="s">
        <v>209</v>
      </c>
      <c r="F1" s="8" t="s">
        <v>210</v>
      </c>
    </row>
    <row r="2" spans="1:6" ht="51" customHeight="1">
      <c r="A2" s="6" t="s">
        <v>211</v>
      </c>
      <c r="B2" s="6" t="s">
        <v>212</v>
      </c>
      <c r="C2" s="4"/>
      <c r="F2" s="8" t="s">
        <v>213</v>
      </c>
    </row>
    <row r="3" spans="1:6" ht="33.950000000000003" customHeight="1">
      <c r="A3" s="6" t="s">
        <v>214</v>
      </c>
      <c r="B3" s="6" t="s">
        <v>215</v>
      </c>
      <c r="C3" s="4"/>
      <c r="F3" s="8" t="s">
        <v>216</v>
      </c>
    </row>
    <row r="4" spans="1:6" ht="33.950000000000003" customHeight="1">
      <c r="A4" s="6" t="s">
        <v>217</v>
      </c>
      <c r="B4" s="6" t="s">
        <v>218</v>
      </c>
      <c r="C4" s="4"/>
      <c r="F4" s="8" t="s">
        <v>219</v>
      </c>
    </row>
    <row r="5" spans="1:6" ht="33.950000000000003" customHeight="1">
      <c r="A5" s="6" t="s">
        <v>220</v>
      </c>
      <c r="B5" s="6" t="s">
        <v>221</v>
      </c>
      <c r="C5" s="4"/>
    </row>
    <row r="6" spans="1:6" ht="33.950000000000003" customHeight="1">
      <c r="A6" s="6" t="s">
        <v>222</v>
      </c>
      <c r="B6" s="6" t="s">
        <v>223</v>
      </c>
      <c r="C6" s="4"/>
    </row>
    <row r="7" spans="1:6" ht="33.950000000000003" customHeight="1">
      <c r="A7" s="6" t="s">
        <v>224</v>
      </c>
      <c r="B7" s="6" t="s">
        <v>225</v>
      </c>
      <c r="C7" s="4"/>
    </row>
    <row r="8" spans="1:6" ht="33.950000000000003" customHeight="1">
      <c r="A8" s="6" t="s">
        <v>226</v>
      </c>
      <c r="B8" s="6" t="s">
        <v>227</v>
      </c>
      <c r="C8" s="4"/>
    </row>
    <row r="9" spans="1:6" ht="33.950000000000003" customHeight="1">
      <c r="A9" s="6" t="s">
        <v>228</v>
      </c>
      <c r="B9" s="6" t="s">
        <v>229</v>
      </c>
      <c r="C9" s="4"/>
    </row>
    <row r="10" spans="1:6" s="5" customFormat="1" ht="33.950000000000003" customHeight="1">
      <c r="A10" s="5" t="s">
        <v>230</v>
      </c>
      <c r="B10" s="5" t="s">
        <v>56</v>
      </c>
      <c r="C10" s="4"/>
      <c r="F10" s="9"/>
    </row>
    <row r="11" spans="1:6" ht="17.100000000000001" customHeight="1">
      <c r="A11" s="6" t="s">
        <v>231</v>
      </c>
      <c r="B11" s="6" t="s">
        <v>232</v>
      </c>
      <c r="C11" s="4"/>
    </row>
    <row r="12" spans="1:6" ht="33.950000000000003" customHeight="1">
      <c r="A12" s="6" t="s">
        <v>233</v>
      </c>
      <c r="B12" s="6" t="s">
        <v>234</v>
      </c>
      <c r="C12" s="4"/>
    </row>
    <row r="13" spans="1:6" ht="33.950000000000003" customHeight="1">
      <c r="A13" s="5" t="s">
        <v>235</v>
      </c>
      <c r="B13" s="5" t="s">
        <v>236</v>
      </c>
      <c r="C13" s="4"/>
    </row>
    <row r="14" spans="1:6" ht="33.950000000000003" customHeight="1">
      <c r="A14" s="6" t="s">
        <v>237</v>
      </c>
      <c r="B14" s="6" t="s">
        <v>238</v>
      </c>
      <c r="C14" s="4"/>
    </row>
    <row r="15" spans="1:6" ht="33.950000000000003" customHeight="1">
      <c r="A15" s="6" t="s">
        <v>29</v>
      </c>
      <c r="B15" s="6" t="s">
        <v>239</v>
      </c>
      <c r="C15" s="4"/>
    </row>
    <row r="16" spans="1:6" ht="17.100000000000001" customHeight="1">
      <c r="A16" s="5" t="s">
        <v>240</v>
      </c>
      <c r="B16" s="5" t="s">
        <v>241</v>
      </c>
      <c r="C16" s="4"/>
    </row>
    <row r="17" spans="1:3" ht="33.950000000000003" customHeight="1">
      <c r="A17" s="6" t="s">
        <v>242</v>
      </c>
      <c r="B17" s="6" t="s">
        <v>243</v>
      </c>
      <c r="C17" s="4"/>
    </row>
    <row r="18" spans="1:3" ht="33.950000000000003" customHeight="1">
      <c r="A18" s="6" t="s">
        <v>244</v>
      </c>
      <c r="B18" s="6" t="s">
        <v>245</v>
      </c>
      <c r="C18" s="4"/>
    </row>
    <row r="19" spans="1:3" ht="33.950000000000003" customHeight="1">
      <c r="A19" s="6" t="s">
        <v>246</v>
      </c>
      <c r="B19" s="6" t="s">
        <v>247</v>
      </c>
      <c r="C19" s="4"/>
    </row>
    <row r="20" spans="1:3" ht="17.100000000000001" customHeight="1">
      <c r="A20" s="6" t="s">
        <v>248</v>
      </c>
      <c r="B20" s="6" t="s">
        <v>249</v>
      </c>
      <c r="C20" s="4"/>
    </row>
    <row r="21" spans="1:3" ht="33" customHeight="1">
      <c r="A21" s="6" t="s">
        <v>250</v>
      </c>
      <c r="B21" s="6" t="s">
        <v>251</v>
      </c>
      <c r="C21" s="4"/>
    </row>
    <row r="22" spans="1:3" ht="33.950000000000003" customHeight="1">
      <c r="A22" s="6" t="s">
        <v>252</v>
      </c>
      <c r="B22" s="6" t="s">
        <v>253</v>
      </c>
      <c r="C22" s="4"/>
    </row>
    <row r="23" spans="1:3" ht="33.950000000000003" customHeight="1">
      <c r="A23" s="6" t="s">
        <v>254</v>
      </c>
      <c r="B23" s="6" t="s">
        <v>255</v>
      </c>
      <c r="C23" s="4"/>
    </row>
    <row r="24" spans="1:3" ht="33.950000000000003" customHeight="1">
      <c r="A24" s="6" t="s">
        <v>256</v>
      </c>
      <c r="B24" s="6" t="s">
        <v>257</v>
      </c>
      <c r="C24" s="4"/>
    </row>
    <row r="25" spans="1:3" ht="33.950000000000003" customHeight="1">
      <c r="A25" s="6" t="s">
        <v>258</v>
      </c>
      <c r="B25" s="6" t="s">
        <v>259</v>
      </c>
      <c r="C25" s="4"/>
    </row>
    <row r="26" spans="1:3" ht="17.100000000000001" customHeight="1">
      <c r="A26" s="6" t="s">
        <v>260</v>
      </c>
      <c r="B26" s="6" t="s">
        <v>261</v>
      </c>
      <c r="C26" s="4"/>
    </row>
    <row r="27" spans="1:3" ht="33.950000000000003" customHeight="1">
      <c r="A27" s="6" t="s">
        <v>262</v>
      </c>
      <c r="B27" s="6" t="s">
        <v>263</v>
      </c>
      <c r="C27" s="4"/>
    </row>
    <row r="28" spans="1:3" ht="33.950000000000003" customHeight="1">
      <c r="A28" s="6" t="s">
        <v>264</v>
      </c>
      <c r="B28" s="6" t="s">
        <v>265</v>
      </c>
      <c r="C28" s="4"/>
    </row>
    <row r="29" spans="1:3" ht="33.950000000000003" customHeight="1">
      <c r="A29" s="5" t="s">
        <v>266</v>
      </c>
      <c r="B29" s="5" t="s">
        <v>267</v>
      </c>
      <c r="C29" s="4"/>
    </row>
    <row r="30" spans="1:3" ht="33.950000000000003" customHeight="1">
      <c r="A30" s="5" t="s">
        <v>268</v>
      </c>
      <c r="B30" s="5" t="s">
        <v>269</v>
      </c>
      <c r="C30" s="4"/>
    </row>
  </sheetData>
  <dataValidations count="1">
    <dataValidation type="list" allowBlank="1" showInputMessage="1" showErrorMessage="1" sqref="C2:C30" xr:uid="{00000000-0002-0000-0100-000000000000}">
      <formula1>$F$1:$F$4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RUJUTA TELANG</dc:creator>
  <cp:keywords/>
  <dc:description/>
  <cp:lastModifiedBy/>
  <cp:revision/>
  <dcterms:created xsi:type="dcterms:W3CDTF">2026-03-18T12:44:33Z</dcterms:created>
  <dcterms:modified xsi:type="dcterms:W3CDTF">2026-06-24T06:38:02Z</dcterms:modified>
  <cp:category/>
  <cp:contentStatus/>
</cp:coreProperties>
</file>